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cerca de" sheetId="2" r:id="rId5"/>
  </sheets>
  <definedNames>
    <definedName localSheetId="0" name="hoy">TODAY()</definedName>
    <definedName localSheetId="0" name="task_progress">ProjectSchedule!$D$1</definedName>
    <definedName name="Inicio_del_proyecto">ProjectSchedule!$E$3</definedName>
    <definedName localSheetId="0" name="task_start">ProjectSchedule!$E$1</definedName>
    <definedName localSheetId="0" name="task_end">ProjectSchedule!$F$1</definedName>
    <definedName name="Semana_para_mostrar">ProjectSchedule!$E$4</definedName>
  </definedNames>
  <calcPr/>
  <extLst>
    <ext uri="GoogleSheetsCustomDataVersion2">
      <go:sheetsCustomData xmlns:go="http://customooxmlschemas.google.com/" r:id="rId6" roundtripDataChecksum="pFC+tdY/9zRFdw3T3bOzI5xD8UWVtS/GhoIrwhBnU9A="/>
    </ext>
  </extLst>
</workbook>
</file>

<file path=xl/sharedStrings.xml><?xml version="1.0" encoding="utf-8"?>
<sst xmlns="http://schemas.openxmlformats.org/spreadsheetml/2006/main" count="136" uniqueCount="66">
  <si>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</si>
  <si>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Digitalización de Cosabo</t>
  </si>
  <si>
    <t>Escriba el nombre de la compañía en la celda B2.</t>
  </si>
  <si>
    <t>Escriba el nombre del responsable del proyecto en la celda B3. Escriba la fecha de comienzo del proyecto en la celda E3. Inicio del proyecto: la etiqueta se encuentra en la celda C3.</t>
  </si>
  <si>
    <t>Responsable del proyecto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</si>
  <si>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</si>
  <si>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</si>
  <si>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</si>
  <si>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</si>
  <si>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</si>
  <si>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</si>
  <si>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</si>
  <si>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</si>
  <si>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</si>
  <si>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</si>
  <si>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</si>
  <si>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</si>
  <si>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Registro de antecedentes, definición de problemática y objetivos de "Cosarbo".</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</si>
  <si>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</si>
  <si>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ERS</t>
  </si>
  <si>
    <t>Cristian Ormazabal</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</si>
  <si>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</si>
  <si>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Descripción y contexto del proyecto</t>
  </si>
  <si>
    <t>Brayan Ahumada</t>
  </si>
  <si>
    <t>Métodologia y especificaciones técnicas</t>
  </si>
  <si>
    <t>Tomas Jilberto y 
Cristian Ormazabal</t>
  </si>
  <si>
    <t>Plan de trabajo y Planificación</t>
  </si>
  <si>
    <t>Carta Gantt</t>
  </si>
  <si>
    <t>Todos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</si>
  <si>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</si>
  <si>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Finalización de la Arquitectura 4+1, Diagramas de Clases y Modelo de Base de Datos.</t>
  </si>
  <si>
    <t>Vista Lógica</t>
  </si>
  <si>
    <t>Vista Procesos</t>
  </si>
  <si>
    <t>Vista Física</t>
  </si>
  <si>
    <t>Vista Despliegue</t>
  </si>
  <si>
    <t>Escenarios</t>
  </si>
  <si>
    <t>Bloque de título fase de ejemplo</t>
  </si>
  <si>
    <t>Desarrollo del núcleo del Backend (Spring Boot) y configuración de base de datos en Render/Railway.</t>
  </si>
  <si>
    <t>Tarea 1</t>
  </si>
  <si>
    <t>Tarea 2</t>
  </si>
  <si>
    <t>Tarea 3</t>
  </si>
  <si>
    <t>Tarea 4</t>
  </si>
  <si>
    <t>Tarea 5</t>
  </si>
  <si>
    <t>Desarrollo de la interfaz de usuario en React, conexión con la API mediante Axios e intento despliegue en Netlify.</t>
  </si>
  <si>
    <t>fecha</t>
  </si>
  <si>
    <t>Implementación de seguridad JWT y manejo de roles (ADMIN/USER).</t>
  </si>
  <si>
    <t>Pruebas integrales de la pasarela de pagos y corrección de errores detectados por el QA.</t>
  </si>
  <si>
    <t>Documentación final en Swagger y preparación de manuales de usuario.</t>
  </si>
  <si>
    <t>Despliegue final en Netlify (Front) y Render (Back)</t>
  </si>
  <si>
    <t>Esta fila indica el final de la programación del proyecto. NO escriba nada en esta fila. 
Inserte nuevas filas encima de ésta para continuar creando la programación del proyecto.</t>
  </si>
  <si>
    <t>Inserte nuevas filas ENCIMA de ésta</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</si>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</sst>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C0A]d\ &quot;de&quot;\ mmmm\ &quot;de&quot;\ yyyy"/>
    <numFmt numFmtId="165" formatCode="ddd\,\ m/d/yyyy"/>
    <numFmt numFmtId="166" formatCode="d"/>
    <numFmt numFmtId="167" formatCode="d\-m\-yy"/>
  </numFmts>
  <fonts count="27">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b/>
      <sz val="11.0"/>
      <color theme="1"/>
      <name val="Calibri"/>
    </font>
    <font>
      <sz val="14.0"/>
      <color theme="1"/>
      <name val="Calibri"/>
    </font>
    <font>
      <sz val="11.0"/>
      <color theme="1"/>
      <name val="Calibri"/>
    </font>
    <font>
      <sz val="10.0"/>
      <color theme="1"/>
      <name val="Arial"/>
    </font>
    <font/>
    <font>
      <color theme="1"/>
      <name val="Calibri"/>
      <scheme val="minor"/>
    </font>
    <font>
      <sz val="9.0"/>
      <color theme="1"/>
      <name val="Calibri"/>
    </font>
    <font>
      <b/>
      <sz val="9.0"/>
      <color theme="0"/>
      <name val="Calibri"/>
    </font>
    <font>
      <sz val="8.0"/>
      <color theme="0"/>
      <name val="Calibri"/>
    </font>
    <font>
      <i/>
      <sz val="9.0"/>
      <color theme="1"/>
      <name val="Calibri"/>
    </font>
    <font>
      <sz val="10.0"/>
      <color rgb="FF7F7F7F"/>
      <name val="Calibri"/>
    </font>
    <font>
      <b/>
      <sz val="11.0"/>
      <color rgb="FF7F7F7F"/>
      <name val="Calibri"/>
    </font>
    <font>
      <sz val="10.0"/>
      <color rgb="FF7F7F7F"/>
      <name val="Arial"/>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20">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A2C4C9"/>
        <bgColor rgb="FFA2C4C9"/>
      </patternFill>
    </fill>
    <fill>
      <patternFill patternType="solid">
        <fgColor rgb="FFD0E0E3"/>
        <bgColor rgb="FFD0E0E3"/>
      </patternFill>
    </fill>
    <fill>
      <patternFill patternType="solid">
        <fgColor rgb="FFFFD966"/>
        <bgColor rgb="FFFFD966"/>
      </patternFill>
    </fill>
    <fill>
      <patternFill patternType="solid">
        <fgColor rgb="FFFFF2CC"/>
        <bgColor rgb="FFFFF2CC"/>
      </patternFill>
    </fill>
    <fill>
      <patternFill patternType="solid">
        <fgColor rgb="FF8E7CC3"/>
        <bgColor rgb="FF8E7CC3"/>
      </patternFill>
    </fill>
    <fill>
      <patternFill patternType="solid">
        <fgColor rgb="FFD9D2E9"/>
        <bgColor rgb="FFD9D2E9"/>
      </patternFill>
    </fill>
    <fill>
      <patternFill patternType="solid">
        <fgColor rgb="FF93C47D"/>
        <bgColor rgb="FF93C47D"/>
      </patternFill>
    </fill>
    <fill>
      <patternFill patternType="solid">
        <fgColor rgb="FFF2F2F2"/>
        <bgColor rgb="FFF2F2F2"/>
      </patternFill>
    </fill>
  </fills>
  <borders count="17">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Font="1"/>
    <xf borderId="0" fillId="0" fontId="7" numFmtId="0" xfId="0" applyAlignment="1" applyFont="1">
      <alignment horizontal="center"/>
    </xf>
    <xf borderId="0" fillId="0" fontId="8" numFmtId="0" xfId="0" applyAlignment="1" applyFont="1">
      <alignment vertical="top"/>
    </xf>
    <xf borderId="0" fillId="0" fontId="7" numFmtId="164" xfId="0" applyAlignment="1" applyFont="1" applyNumberFormat="1">
      <alignment horizontal="left" shrinkToFit="0" vertical="center" wrapText="1"/>
    </xf>
    <xf borderId="0" fillId="0" fontId="6" numFmtId="0" xfId="0" applyAlignment="1" applyFont="1">
      <alignment vertical="top"/>
    </xf>
    <xf borderId="0" fillId="0" fontId="7" numFmtId="0" xfId="0" applyAlignment="1" applyFont="1">
      <alignment horizontal="right"/>
    </xf>
    <xf borderId="1" fillId="0" fontId="9" numFmtId="0" xfId="0" applyBorder="1" applyFont="1"/>
    <xf borderId="2" fillId="0" fontId="7" numFmtId="165" xfId="0" applyAlignment="1" applyBorder="1" applyFont="1" applyNumberFormat="1">
      <alignment horizontal="center" readingOrder="0" vertical="center"/>
    </xf>
    <xf borderId="3" fillId="0" fontId="9" numFmtId="0" xfId="0" applyBorder="1" applyFont="1"/>
    <xf borderId="4" fillId="0" fontId="7" numFmtId="0" xfId="0" applyAlignment="1" applyBorder="1" applyFont="1">
      <alignment horizontal="center" readingOrder="0" vertical="center"/>
    </xf>
    <xf borderId="5" fillId="2" fontId="7" numFmtId="164" xfId="0" applyAlignment="1" applyBorder="1" applyFill="1" applyFont="1" applyNumberFormat="1">
      <alignment horizontal="left" shrinkToFit="0" vertical="center" wrapText="1"/>
    </xf>
    <xf borderId="6" fillId="0" fontId="9" numFmtId="0" xfId="0" applyBorder="1" applyFont="1"/>
    <xf borderId="7" fillId="0" fontId="9" numFmtId="0" xfId="0" applyBorder="1" applyFont="1"/>
    <xf borderId="0" fillId="0" fontId="1" numFmtId="0" xfId="0" applyAlignment="1" applyFont="1">
      <alignment horizontal="center" shrinkToFit="0" wrapText="1"/>
    </xf>
    <xf borderId="8" fillId="0" fontId="7" numFmtId="0" xfId="0" applyAlignment="1" applyBorder="1" applyFont="1">
      <alignment horizontal="center"/>
    </xf>
    <xf borderId="0" fillId="0" fontId="10" numFmtId="0" xfId="0" applyAlignment="1" applyFont="1">
      <alignment horizontal="center"/>
    </xf>
    <xf borderId="9" fillId="2" fontId="11" numFmtId="166" xfId="0" applyAlignment="1" applyBorder="1" applyFont="1" applyNumberFormat="1">
      <alignment horizontal="center" vertical="center"/>
    </xf>
    <xf borderId="10" fillId="2" fontId="11" numFmtId="166" xfId="0" applyAlignment="1" applyBorder="1" applyFont="1" applyNumberFormat="1">
      <alignment horizontal="center" vertical="center"/>
    </xf>
    <xf borderId="11" fillId="2" fontId="11" numFmtId="166" xfId="0" applyAlignment="1" applyBorder="1" applyFont="1" applyNumberFormat="1">
      <alignment horizontal="center" vertical="center"/>
    </xf>
    <xf borderId="12" fillId="3" fontId="12" numFmtId="0" xfId="0" applyAlignment="1" applyBorder="1" applyFill="1" applyFont="1">
      <alignment horizontal="left" vertical="center"/>
    </xf>
    <xf borderId="12" fillId="3" fontId="12" numFmtId="0" xfId="0" applyAlignment="1" applyBorder="1" applyFont="1">
      <alignment horizontal="center" shrinkToFit="0" vertical="center" wrapText="1"/>
    </xf>
    <xf borderId="13" fillId="3" fontId="13" numFmtId="0" xfId="0" applyAlignment="1" applyBorder="1" applyFont="1">
      <alignment horizontal="center" shrinkToFit="1" vertical="center" wrapText="0"/>
    </xf>
    <xf borderId="0" fillId="0" fontId="7" numFmtId="0" xfId="0" applyAlignment="1" applyFont="1">
      <alignment shrinkToFit="0" wrapText="1"/>
    </xf>
    <xf borderId="0" fillId="0" fontId="10" numFmtId="0" xfId="0" applyFont="1"/>
    <xf borderId="14" fillId="0" fontId="7" numFmtId="0" xfId="0" applyAlignment="1" applyBorder="1" applyFont="1">
      <alignment vertical="center"/>
    </xf>
    <xf borderId="0" fillId="0" fontId="7" numFmtId="0" xfId="0" applyAlignment="1" applyFont="1">
      <alignment vertical="center"/>
    </xf>
    <xf borderId="15" fillId="4" fontId="5" numFmtId="0" xfId="0" applyAlignment="1" applyBorder="1" applyFill="1" applyFont="1">
      <alignment horizontal="left" readingOrder="0" vertical="center"/>
    </xf>
    <xf borderId="15" fillId="4" fontId="7" numFmtId="0" xfId="0" applyAlignment="1" applyBorder="1" applyFont="1">
      <alignment horizontal="center" vertical="center"/>
    </xf>
    <xf borderId="15" fillId="4" fontId="7" numFmtId="9" xfId="0" applyAlignment="1" applyBorder="1" applyFont="1" applyNumberFormat="1">
      <alignment horizontal="center" vertical="center"/>
    </xf>
    <xf borderId="15" fillId="4" fontId="7" numFmtId="167" xfId="0" applyAlignment="1" applyBorder="1" applyFont="1" applyNumberFormat="1">
      <alignment horizontal="center" vertical="center"/>
    </xf>
    <xf borderId="16" fillId="0" fontId="7" numFmtId="0" xfId="0" applyAlignment="1" applyBorder="1" applyFont="1">
      <alignment horizontal="center" vertical="center"/>
    </xf>
    <xf borderId="15" fillId="5" fontId="7" numFmtId="0" xfId="0" applyAlignment="1" applyBorder="1" applyFill="1" applyFont="1">
      <alignment horizontal="left" readingOrder="0" vertical="center"/>
    </xf>
    <xf borderId="15" fillId="5" fontId="7" numFmtId="0" xfId="0" applyAlignment="1" applyBorder="1" applyFont="1">
      <alignment horizontal="center" readingOrder="0" vertical="center"/>
    </xf>
    <xf borderId="15" fillId="5" fontId="7" numFmtId="167" xfId="0" applyAlignment="1" applyBorder="1" applyFont="1" applyNumberFormat="1">
      <alignment horizontal="center" vertical="center"/>
    </xf>
    <xf borderId="15" fillId="5" fontId="7" numFmtId="9" xfId="0" applyAlignment="1" applyBorder="1" applyFont="1" applyNumberFormat="1">
      <alignment horizontal="center" readingOrder="0" vertical="center"/>
    </xf>
    <xf borderId="14" fillId="0" fontId="7" numFmtId="0" xfId="0" applyAlignment="1" applyBorder="1" applyFont="1">
      <alignment horizontal="right" vertical="center"/>
    </xf>
    <xf borderId="15" fillId="5" fontId="7" numFmtId="9" xfId="0" applyAlignment="1" applyBorder="1" applyFont="1" applyNumberFormat="1">
      <alignment horizontal="center" vertical="center"/>
    </xf>
    <xf borderId="16" fillId="4" fontId="7" numFmtId="167" xfId="0" applyAlignment="1" applyBorder="1" applyFont="1" applyNumberFormat="1">
      <alignment horizontal="center" vertical="center"/>
    </xf>
    <xf borderId="15" fillId="6" fontId="5" numFmtId="0" xfId="0" applyAlignment="1" applyBorder="1" applyFill="1" applyFont="1">
      <alignment horizontal="left" readingOrder="0" vertical="center"/>
    </xf>
    <xf borderId="15" fillId="6" fontId="7" numFmtId="0" xfId="0" applyAlignment="1" applyBorder="1" applyFont="1">
      <alignment horizontal="center" vertical="center"/>
    </xf>
    <xf borderId="15" fillId="6" fontId="7" numFmtId="9" xfId="0" applyAlignment="1" applyBorder="1" applyFont="1" applyNumberFormat="1">
      <alignment horizontal="center" vertical="center"/>
    </xf>
    <xf borderId="15" fillId="6" fontId="7" numFmtId="167" xfId="0" applyAlignment="1" applyBorder="1" applyFont="1" applyNumberFormat="1">
      <alignment horizontal="center" vertical="center"/>
    </xf>
    <xf borderId="15" fillId="7" fontId="7" numFmtId="0" xfId="0" applyAlignment="1" applyBorder="1" applyFill="1" applyFont="1">
      <alignment horizontal="left" readingOrder="0" vertical="center"/>
    </xf>
    <xf borderId="15" fillId="7" fontId="7" numFmtId="0" xfId="0" applyAlignment="1" applyBorder="1" applyFont="1">
      <alignment horizontal="center" readingOrder="0" vertical="center"/>
    </xf>
    <xf borderId="15" fillId="7" fontId="7" numFmtId="9" xfId="0" applyAlignment="1" applyBorder="1" applyFont="1" applyNumberFormat="1">
      <alignment horizontal="center" vertical="center"/>
    </xf>
    <xf borderId="15" fillId="7" fontId="7" numFmtId="167" xfId="0" applyAlignment="1" applyBorder="1" applyFont="1" applyNumberFormat="1">
      <alignment horizontal="center" vertical="center"/>
    </xf>
    <xf borderId="15" fillId="8" fontId="5" numFmtId="0" xfId="0" applyAlignment="1" applyBorder="1" applyFill="1" applyFont="1">
      <alignment horizontal="left" readingOrder="0" vertical="center"/>
    </xf>
    <xf borderId="15" fillId="8" fontId="7" numFmtId="0" xfId="0" applyAlignment="1" applyBorder="1" applyFont="1">
      <alignment horizontal="center" vertical="center"/>
    </xf>
    <xf borderId="15" fillId="8" fontId="7" numFmtId="9" xfId="0" applyAlignment="1" applyBorder="1" applyFont="1" applyNumberFormat="1">
      <alignment horizontal="center" vertical="center"/>
    </xf>
    <xf borderId="15" fillId="8" fontId="7" numFmtId="167" xfId="0" applyAlignment="1" applyBorder="1" applyFont="1" applyNumberFormat="1">
      <alignment horizontal="center" vertical="center"/>
    </xf>
    <xf borderId="15" fillId="9" fontId="7" numFmtId="0" xfId="0" applyAlignment="1" applyBorder="1" applyFill="1" applyFont="1">
      <alignment horizontal="left" vertical="center"/>
    </xf>
    <xf borderId="15" fillId="9" fontId="7" numFmtId="0" xfId="0" applyAlignment="1" applyBorder="1" applyFont="1">
      <alignment horizontal="center" vertical="center"/>
    </xf>
    <xf borderId="15" fillId="9" fontId="7" numFmtId="9" xfId="0" applyAlignment="1" applyBorder="1" applyFont="1" applyNumberFormat="1">
      <alignment horizontal="center" vertical="center"/>
    </xf>
    <xf borderId="15" fillId="9" fontId="7" numFmtId="167" xfId="0" applyAlignment="1" applyBorder="1" applyFont="1" applyNumberFormat="1">
      <alignment horizontal="center" vertical="center"/>
    </xf>
    <xf borderId="15" fillId="10" fontId="5" numFmtId="0" xfId="0" applyAlignment="1" applyBorder="1" applyFill="1" applyFont="1">
      <alignment horizontal="left" readingOrder="0" vertical="center"/>
    </xf>
    <xf borderId="15" fillId="10" fontId="7" numFmtId="0" xfId="0" applyAlignment="1" applyBorder="1" applyFont="1">
      <alignment horizontal="center" vertical="center"/>
    </xf>
    <xf borderId="15" fillId="10" fontId="7" numFmtId="9" xfId="0" applyAlignment="1" applyBorder="1" applyFont="1" applyNumberFormat="1">
      <alignment horizontal="center" vertical="center"/>
    </xf>
    <xf borderId="15" fillId="10" fontId="7" numFmtId="167" xfId="0" applyAlignment="1" applyBorder="1" applyFont="1" applyNumberFormat="1">
      <alignment horizontal="center" vertical="center"/>
    </xf>
    <xf borderId="15" fillId="11" fontId="7" numFmtId="0" xfId="0" applyAlignment="1" applyBorder="1" applyFill="1" applyFont="1">
      <alignment horizontal="left" vertical="center"/>
    </xf>
    <xf borderId="15" fillId="11" fontId="7" numFmtId="0" xfId="0" applyAlignment="1" applyBorder="1" applyFont="1">
      <alignment horizontal="center" vertical="center"/>
    </xf>
    <xf borderId="15" fillId="11" fontId="7" numFmtId="9" xfId="0" applyAlignment="1" applyBorder="1" applyFont="1" applyNumberFormat="1">
      <alignment horizontal="center" vertical="center"/>
    </xf>
    <xf borderId="15" fillId="11" fontId="7" numFmtId="167" xfId="0" applyAlignment="1" applyBorder="1" applyFont="1" applyNumberFormat="1">
      <alignment horizontal="center" vertical="center"/>
    </xf>
    <xf borderId="15" fillId="12" fontId="5" numFmtId="0" xfId="0" applyAlignment="1" applyBorder="1" applyFill="1" applyFont="1">
      <alignment horizontal="left" readingOrder="0" vertical="center"/>
    </xf>
    <xf borderId="15" fillId="12" fontId="7" numFmtId="0" xfId="0" applyAlignment="1" applyBorder="1" applyFont="1">
      <alignment horizontal="center" vertical="center"/>
    </xf>
    <xf borderId="15" fillId="12" fontId="7" numFmtId="9" xfId="0" applyAlignment="1" applyBorder="1" applyFont="1" applyNumberFormat="1">
      <alignment horizontal="center" vertical="center"/>
    </xf>
    <xf borderId="15" fillId="12" fontId="7" numFmtId="167" xfId="0" applyAlignment="1" applyBorder="1" applyFont="1" applyNumberFormat="1">
      <alignment horizontal="center" vertical="center"/>
    </xf>
    <xf borderId="15" fillId="13" fontId="7" numFmtId="0" xfId="0" applyAlignment="1" applyBorder="1" applyFill="1" applyFont="1">
      <alignment horizontal="left" vertical="center"/>
    </xf>
    <xf borderId="15" fillId="13" fontId="7" numFmtId="0" xfId="0" applyAlignment="1" applyBorder="1" applyFont="1">
      <alignment horizontal="center" vertical="center"/>
    </xf>
    <xf borderId="15" fillId="13" fontId="7" numFmtId="9" xfId="0" applyAlignment="1" applyBorder="1" applyFont="1" applyNumberFormat="1">
      <alignment horizontal="center" vertical="center"/>
    </xf>
    <xf borderId="15" fillId="13" fontId="7" numFmtId="167" xfId="0" applyAlignment="1" applyBorder="1" applyFont="1" applyNumberFormat="1">
      <alignment horizontal="center" vertical="center"/>
    </xf>
    <xf borderId="15" fillId="0" fontId="7" numFmtId="167" xfId="0" applyAlignment="1" applyBorder="1" applyFont="1" applyNumberFormat="1">
      <alignment horizontal="center" vertical="center"/>
    </xf>
    <xf borderId="15" fillId="14" fontId="5" numFmtId="0" xfId="0" applyAlignment="1" applyBorder="1" applyFill="1" applyFont="1">
      <alignment horizontal="left" readingOrder="0" vertical="center"/>
    </xf>
    <xf borderId="15" fillId="14" fontId="7" numFmtId="0" xfId="0" applyAlignment="1" applyBorder="1" applyFont="1">
      <alignment horizontal="center" vertical="center"/>
    </xf>
    <xf borderId="15" fillId="14" fontId="7" numFmtId="9" xfId="0" applyAlignment="1" applyBorder="1" applyFont="1" applyNumberFormat="1">
      <alignment horizontal="center" vertical="center"/>
    </xf>
    <xf borderId="15" fillId="14" fontId="7" numFmtId="167" xfId="0" applyAlignment="1" applyBorder="1" applyFont="1" applyNumberFormat="1">
      <alignment horizontal="center" vertical="center"/>
    </xf>
    <xf borderId="15" fillId="15" fontId="7" numFmtId="0" xfId="0" applyAlignment="1" applyBorder="1" applyFill="1" applyFont="1">
      <alignment horizontal="left" vertical="center"/>
    </xf>
    <xf borderId="15" fillId="15" fontId="7" numFmtId="0" xfId="0" applyAlignment="1" applyBorder="1" applyFont="1">
      <alignment horizontal="center" vertical="center"/>
    </xf>
    <xf borderId="15" fillId="15" fontId="7" numFmtId="9" xfId="0" applyAlignment="1" applyBorder="1" applyFont="1" applyNumberFormat="1">
      <alignment horizontal="center" vertical="center"/>
    </xf>
    <xf borderId="15" fillId="15" fontId="7" numFmtId="167" xfId="0" applyAlignment="1" applyBorder="1" applyFont="1" applyNumberFormat="1">
      <alignment horizontal="center" vertical="center"/>
    </xf>
    <xf borderId="15" fillId="16" fontId="5" numFmtId="0" xfId="0" applyAlignment="1" applyBorder="1" applyFill="1" applyFont="1">
      <alignment horizontal="left" readingOrder="0" vertical="center"/>
    </xf>
    <xf borderId="15" fillId="16" fontId="7" numFmtId="0" xfId="0" applyAlignment="1" applyBorder="1" applyFont="1">
      <alignment horizontal="center" vertical="center"/>
    </xf>
    <xf borderId="15" fillId="16" fontId="7" numFmtId="9" xfId="0" applyAlignment="1" applyBorder="1" applyFont="1" applyNumberFormat="1">
      <alignment horizontal="center" vertical="center"/>
    </xf>
    <xf borderId="15" fillId="16" fontId="7" numFmtId="167" xfId="0" applyAlignment="1" applyBorder="1" applyFont="1" applyNumberFormat="1">
      <alignment horizontal="center" vertical="center"/>
    </xf>
    <xf borderId="15" fillId="17" fontId="7" numFmtId="0" xfId="0" applyAlignment="1" applyBorder="1" applyFill="1" applyFont="1">
      <alignment horizontal="left" vertical="center"/>
    </xf>
    <xf borderId="15" fillId="17" fontId="7" numFmtId="0" xfId="0" applyAlignment="1" applyBorder="1" applyFont="1">
      <alignment horizontal="center" vertical="center"/>
    </xf>
    <xf borderId="15" fillId="17" fontId="7" numFmtId="9" xfId="0" applyAlignment="1" applyBorder="1" applyFont="1" applyNumberFormat="1">
      <alignment horizontal="center" vertical="center"/>
    </xf>
    <xf borderId="15" fillId="17" fontId="7" numFmtId="167" xfId="0" applyAlignment="1" applyBorder="1" applyFont="1" applyNumberFormat="1">
      <alignment horizontal="center" vertical="center"/>
    </xf>
    <xf borderId="14" fillId="16" fontId="7" numFmtId="0" xfId="0" applyAlignment="1" applyBorder="1" applyFont="1">
      <alignment vertical="center"/>
    </xf>
    <xf borderId="15" fillId="18" fontId="5" numFmtId="0" xfId="0" applyAlignment="1" applyBorder="1" applyFill="1" applyFont="1">
      <alignment horizontal="left" readingOrder="0" vertical="center"/>
    </xf>
    <xf borderId="15" fillId="18" fontId="7" numFmtId="0" xfId="0" applyAlignment="1" applyBorder="1" applyFont="1">
      <alignment horizontal="center" vertical="center"/>
    </xf>
    <xf borderId="15" fillId="18" fontId="7" numFmtId="9" xfId="0" applyAlignment="1" applyBorder="1" applyFont="1" applyNumberFormat="1">
      <alignment horizontal="center" vertical="center"/>
    </xf>
    <xf borderId="15" fillId="18" fontId="7" numFmtId="167" xfId="0" applyAlignment="1" applyBorder="1" applyFont="1" applyNumberFormat="1">
      <alignment horizontal="center" vertical="center"/>
    </xf>
    <xf borderId="15" fillId="19" fontId="14" numFmtId="0" xfId="0" applyAlignment="1" applyBorder="1" applyFill="1" applyFont="1">
      <alignment horizontal="left" vertical="center"/>
    </xf>
    <xf borderId="15" fillId="19" fontId="14" numFmtId="0" xfId="0" applyAlignment="1" applyBorder="1" applyFont="1">
      <alignment horizontal="center" vertical="center"/>
    </xf>
    <xf borderId="15" fillId="19" fontId="7" numFmtId="9" xfId="0" applyAlignment="1" applyBorder="1" applyFont="1" applyNumberFormat="1">
      <alignment horizontal="center" vertical="center"/>
    </xf>
    <xf borderId="15" fillId="19" fontId="15" numFmtId="167" xfId="0" applyAlignment="1" applyBorder="1" applyFont="1" applyNumberFormat="1">
      <alignment horizontal="left" vertical="center"/>
    </xf>
    <xf borderId="15" fillId="19" fontId="7" numFmtId="167" xfId="0" applyAlignment="1" applyBorder="1" applyFont="1" applyNumberFormat="1">
      <alignment horizontal="center" vertical="center"/>
    </xf>
    <xf borderId="15" fillId="19" fontId="7" numFmtId="0" xfId="0" applyAlignment="1" applyBorder="1" applyFont="1">
      <alignment horizontal="center" vertical="center"/>
    </xf>
    <xf borderId="14" fillId="19" fontId="7" numFmtId="0" xfId="0" applyAlignment="1" applyBorder="1" applyFont="1">
      <alignment vertical="center"/>
    </xf>
    <xf borderId="0" fillId="0" fontId="10" numFmtId="0" xfId="0" applyAlignment="1" applyFont="1">
      <alignment readingOrder="0"/>
    </xf>
    <xf borderId="0" fillId="0" fontId="7" numFmtId="0" xfId="0" applyAlignment="1" applyFont="1">
      <alignment horizontal="right" vertical="center"/>
    </xf>
    <xf borderId="0" fillId="0" fontId="16" numFmtId="0" xfId="0" applyFont="1"/>
    <xf borderId="0" fillId="0" fontId="1" numFmtId="0" xfId="0" applyAlignment="1" applyFont="1">
      <alignment horizontal="center"/>
    </xf>
    <xf borderId="0" fillId="0" fontId="17" numFmtId="0" xfId="0" applyFont="1"/>
    <xf borderId="0" fillId="0" fontId="4" numFmtId="0" xfId="0" applyAlignment="1" applyFont="1">
      <alignment vertical="top"/>
    </xf>
    <xf borderId="0" fillId="0" fontId="18" numFmtId="0" xfId="0" applyAlignment="1" applyFont="1">
      <alignment horizontal="left" vertical="center"/>
    </xf>
    <xf borderId="0" fillId="0" fontId="19" numFmtId="0" xfId="0" applyAlignment="1" applyFont="1">
      <alignment horizontal="left" vertical="center"/>
    </xf>
    <xf borderId="0" fillId="0" fontId="20" numFmtId="0" xfId="0" applyAlignment="1" applyFont="1">
      <alignment horizontal="left" vertical="center"/>
    </xf>
    <xf borderId="0" fillId="0" fontId="21" numFmtId="0" xfId="0" applyAlignment="1" applyFont="1">
      <alignment vertical="top"/>
    </xf>
    <xf borderId="0" fillId="0" fontId="22" numFmtId="0" xfId="0" applyAlignment="1" applyFont="1">
      <alignment vertical="top"/>
    </xf>
    <xf borderId="0" fillId="0" fontId="4" numFmtId="0" xfId="0" applyAlignment="1" applyFont="1">
      <alignment horizontal="left" vertical="top"/>
    </xf>
    <xf borderId="0" fillId="0" fontId="23" numFmtId="0" xfId="0" applyAlignment="1" applyFont="1">
      <alignment vertical="center"/>
    </xf>
    <xf borderId="0" fillId="0" fontId="24" numFmtId="0" xfId="0" applyFont="1"/>
    <xf borderId="0" fillId="0" fontId="25" numFmtId="0" xfId="0" applyAlignment="1" applyFont="1">
      <alignment horizontal="left" shrinkToFit="0" vertical="top" wrapText="1"/>
    </xf>
    <xf borderId="0" fillId="0" fontId="7" numFmtId="0" xfId="0" applyAlignment="1" applyFont="1">
      <alignment shrinkToFit="0" vertical="top" wrapText="1"/>
    </xf>
    <xf borderId="0" fillId="0" fontId="26"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Logotipo de Vertex42"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29.43"/>
    <col customWidth="1" min="3" max="3" width="30.71"/>
    <col customWidth="1" min="4" max="4" width="10.71"/>
    <col customWidth="1" min="5" max="6" width="10.43"/>
    <col customWidth="1" min="7" max="7" width="2.71"/>
    <col customWidth="1" hidden="1" min="8" max="8" width="9.43"/>
    <col customWidth="1" min="9" max="106" width="3.29"/>
  </cols>
  <sheetData>
    <row r="1" ht="30.0" customHeight="1">
      <c r="A1" s="1" t="s">
        <v>0</v>
      </c>
      <c r="B1" s="2" t="s">
        <v>1</v>
      </c>
      <c r="C1" s="3"/>
      <c r="D1" s="4"/>
      <c r="E1" s="5"/>
      <c r="F1" s="6"/>
      <c r="H1" s="4"/>
      <c r="I1" s="7"/>
    </row>
    <row r="2" ht="30.0" customHeight="1">
      <c r="A2" s="8" t="s">
        <v>2</v>
      </c>
      <c r="B2" s="9"/>
      <c r="E2" s="10"/>
      <c r="I2" s="11"/>
      <c r="BE2" s="12"/>
      <c r="BF2" s="12"/>
      <c r="BG2" s="12"/>
      <c r="BH2" s="12"/>
      <c r="BI2" s="12"/>
      <c r="BJ2" s="12"/>
      <c r="BK2" s="12"/>
      <c r="BL2" s="12"/>
    </row>
    <row r="3" ht="30.0" customHeight="1">
      <c r="A3" s="8" t="s">
        <v>3</v>
      </c>
      <c r="B3" s="13" t="s">
        <v>4</v>
      </c>
      <c r="C3" s="14" t="s">
        <v>5</v>
      </c>
      <c r="D3" s="15"/>
      <c r="E3" s="16">
        <v>46093.0</v>
      </c>
      <c r="F3" s="17"/>
      <c r="BS3" s="12" t="str">
        <f>BS4</f>
        <v/>
      </c>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row>
    <row r="4" ht="30.0" customHeight="1">
      <c r="A4" s="1" t="s">
        <v>6</v>
      </c>
      <c r="C4" s="14" t="s">
        <v>7</v>
      </c>
      <c r="D4" s="15"/>
      <c r="E4" s="18">
        <v>1.0</v>
      </c>
      <c r="I4" s="19">
        <f>I5</f>
        <v>46090</v>
      </c>
      <c r="J4" s="20"/>
      <c r="K4" s="20"/>
      <c r="L4" s="20"/>
      <c r="M4" s="20"/>
      <c r="N4" s="20"/>
      <c r="O4" s="21"/>
      <c r="P4" s="19">
        <f>P5</f>
        <v>46097</v>
      </c>
      <c r="Q4" s="20"/>
      <c r="R4" s="20"/>
      <c r="S4" s="20"/>
      <c r="T4" s="20"/>
      <c r="U4" s="20"/>
      <c r="V4" s="21"/>
      <c r="W4" s="19">
        <f>W5</f>
        <v>46104</v>
      </c>
      <c r="X4" s="20"/>
      <c r="Y4" s="20"/>
      <c r="Z4" s="20"/>
      <c r="AA4" s="20"/>
      <c r="AB4" s="20"/>
      <c r="AC4" s="21"/>
      <c r="AD4" s="19">
        <f>AD5</f>
        <v>46111</v>
      </c>
      <c r="AE4" s="20"/>
      <c r="AF4" s="20"/>
      <c r="AG4" s="20"/>
      <c r="AH4" s="20"/>
      <c r="AI4" s="20"/>
      <c r="AJ4" s="21"/>
      <c r="AK4" s="19">
        <f>AK5</f>
        <v>46118</v>
      </c>
      <c r="AL4" s="20"/>
      <c r="AM4" s="20"/>
      <c r="AN4" s="20"/>
      <c r="AO4" s="20"/>
      <c r="AP4" s="20"/>
      <c r="AQ4" s="21"/>
      <c r="AR4" s="19">
        <f>AR5</f>
        <v>46125</v>
      </c>
      <c r="AS4" s="20"/>
      <c r="AT4" s="20"/>
      <c r="AU4" s="20"/>
      <c r="AV4" s="20"/>
      <c r="AW4" s="20"/>
      <c r="AX4" s="21"/>
      <c r="AY4" s="19">
        <f>AY5</f>
        <v>46132</v>
      </c>
      <c r="AZ4" s="20"/>
      <c r="BA4" s="20"/>
      <c r="BB4" s="20"/>
      <c r="BC4" s="20"/>
      <c r="BD4" s="20"/>
      <c r="BE4" s="21"/>
      <c r="BF4" s="19">
        <f>BF5</f>
        <v>46139</v>
      </c>
      <c r="BG4" s="20"/>
      <c r="BH4" s="20"/>
      <c r="BI4" s="20"/>
      <c r="BJ4" s="20"/>
      <c r="BK4" s="20"/>
      <c r="BL4" s="21"/>
      <c r="BM4" s="19">
        <f>BM5</f>
        <v>46146</v>
      </c>
      <c r="BN4" s="20"/>
      <c r="BO4" s="20"/>
      <c r="BP4" s="20"/>
      <c r="BQ4" s="20"/>
      <c r="BR4" s="20"/>
      <c r="BS4" s="21"/>
      <c r="BT4" s="19">
        <f>BT5</f>
        <v>46153</v>
      </c>
      <c r="BU4" s="20"/>
      <c r="BV4" s="20"/>
      <c r="BW4" s="20"/>
      <c r="BX4" s="20"/>
      <c r="BY4" s="20"/>
      <c r="BZ4" s="21"/>
      <c r="CA4" s="19">
        <f>CA5</f>
        <v>46160</v>
      </c>
      <c r="CB4" s="20"/>
      <c r="CC4" s="20"/>
      <c r="CD4" s="20"/>
      <c r="CE4" s="20"/>
      <c r="CF4" s="20"/>
      <c r="CG4" s="21"/>
      <c r="CH4" s="19">
        <f>CH5</f>
        <v>46167</v>
      </c>
      <c r="CI4" s="20"/>
      <c r="CJ4" s="20"/>
      <c r="CK4" s="20"/>
      <c r="CL4" s="20"/>
      <c r="CM4" s="20"/>
      <c r="CN4" s="21"/>
      <c r="CO4" s="19">
        <f>CO5</f>
        <v>46174</v>
      </c>
      <c r="CP4" s="20"/>
      <c r="CQ4" s="20"/>
      <c r="CR4" s="20"/>
      <c r="CS4" s="20"/>
      <c r="CT4" s="20"/>
      <c r="CU4" s="21"/>
      <c r="CV4" s="19">
        <f>CV5</f>
        <v>46181</v>
      </c>
      <c r="CW4" s="20"/>
      <c r="CX4" s="20"/>
      <c r="CY4" s="20"/>
      <c r="CZ4" s="20"/>
      <c r="DA4" s="20"/>
      <c r="DB4" s="21"/>
    </row>
    <row r="5" ht="15.0" customHeight="1">
      <c r="A5" s="22" t="s">
        <v>8</v>
      </c>
      <c r="B5" s="23"/>
      <c r="C5" s="23"/>
      <c r="D5" s="23"/>
      <c r="E5" s="23"/>
      <c r="F5" s="23"/>
      <c r="G5" s="23"/>
      <c r="H5" s="24"/>
      <c r="I5" s="25">
        <f>Inicio_del_proyecto-WEEKDAY(Inicio_del_proyecto,1)+2+7*(Semana_para_mostrar-1)</f>
        <v>46090</v>
      </c>
      <c r="J5" s="26">
        <f t="shared" ref="J5:BZ5" si="1">I5+1</f>
        <v>46091</v>
      </c>
      <c r="K5" s="26">
        <f t="shared" si="1"/>
        <v>46092</v>
      </c>
      <c r="L5" s="26">
        <f t="shared" si="1"/>
        <v>46093</v>
      </c>
      <c r="M5" s="26">
        <f t="shared" si="1"/>
        <v>46094</v>
      </c>
      <c r="N5" s="26">
        <f t="shared" si="1"/>
        <v>46095</v>
      </c>
      <c r="O5" s="27">
        <f t="shared" si="1"/>
        <v>46096</v>
      </c>
      <c r="P5" s="25">
        <f t="shared" si="1"/>
        <v>46097</v>
      </c>
      <c r="Q5" s="26">
        <f t="shared" si="1"/>
        <v>46098</v>
      </c>
      <c r="R5" s="26">
        <f t="shared" si="1"/>
        <v>46099</v>
      </c>
      <c r="S5" s="26">
        <f t="shared" si="1"/>
        <v>46100</v>
      </c>
      <c r="T5" s="26">
        <f t="shared" si="1"/>
        <v>46101</v>
      </c>
      <c r="U5" s="26">
        <f t="shared" si="1"/>
        <v>46102</v>
      </c>
      <c r="V5" s="27">
        <f t="shared" si="1"/>
        <v>46103</v>
      </c>
      <c r="W5" s="25">
        <f t="shared" si="1"/>
        <v>46104</v>
      </c>
      <c r="X5" s="26">
        <f t="shared" si="1"/>
        <v>46105</v>
      </c>
      <c r="Y5" s="26">
        <f t="shared" si="1"/>
        <v>46106</v>
      </c>
      <c r="Z5" s="26">
        <f t="shared" si="1"/>
        <v>46107</v>
      </c>
      <c r="AA5" s="26">
        <f t="shared" si="1"/>
        <v>46108</v>
      </c>
      <c r="AB5" s="26">
        <f t="shared" si="1"/>
        <v>46109</v>
      </c>
      <c r="AC5" s="27">
        <f t="shared" si="1"/>
        <v>46110</v>
      </c>
      <c r="AD5" s="25">
        <f t="shared" si="1"/>
        <v>46111</v>
      </c>
      <c r="AE5" s="26">
        <f t="shared" si="1"/>
        <v>46112</v>
      </c>
      <c r="AF5" s="26">
        <f t="shared" si="1"/>
        <v>46113</v>
      </c>
      <c r="AG5" s="26">
        <f t="shared" si="1"/>
        <v>46114</v>
      </c>
      <c r="AH5" s="26">
        <f t="shared" si="1"/>
        <v>46115</v>
      </c>
      <c r="AI5" s="26">
        <f t="shared" si="1"/>
        <v>46116</v>
      </c>
      <c r="AJ5" s="27">
        <f t="shared" si="1"/>
        <v>46117</v>
      </c>
      <c r="AK5" s="25">
        <f t="shared" si="1"/>
        <v>46118</v>
      </c>
      <c r="AL5" s="26">
        <f t="shared" si="1"/>
        <v>46119</v>
      </c>
      <c r="AM5" s="26">
        <f t="shared" si="1"/>
        <v>46120</v>
      </c>
      <c r="AN5" s="26">
        <f t="shared" si="1"/>
        <v>46121</v>
      </c>
      <c r="AO5" s="26">
        <f t="shared" si="1"/>
        <v>46122</v>
      </c>
      <c r="AP5" s="26">
        <f t="shared" si="1"/>
        <v>46123</v>
      </c>
      <c r="AQ5" s="27">
        <f t="shared" si="1"/>
        <v>46124</v>
      </c>
      <c r="AR5" s="25">
        <f t="shared" si="1"/>
        <v>46125</v>
      </c>
      <c r="AS5" s="26">
        <f t="shared" si="1"/>
        <v>46126</v>
      </c>
      <c r="AT5" s="26">
        <f t="shared" si="1"/>
        <v>46127</v>
      </c>
      <c r="AU5" s="26">
        <f t="shared" si="1"/>
        <v>46128</v>
      </c>
      <c r="AV5" s="26">
        <f t="shared" si="1"/>
        <v>46129</v>
      </c>
      <c r="AW5" s="26">
        <f t="shared" si="1"/>
        <v>46130</v>
      </c>
      <c r="AX5" s="27">
        <f t="shared" si="1"/>
        <v>46131</v>
      </c>
      <c r="AY5" s="25">
        <f t="shared" si="1"/>
        <v>46132</v>
      </c>
      <c r="AZ5" s="26">
        <f t="shared" si="1"/>
        <v>46133</v>
      </c>
      <c r="BA5" s="26">
        <f t="shared" si="1"/>
        <v>46134</v>
      </c>
      <c r="BB5" s="26">
        <f t="shared" si="1"/>
        <v>46135</v>
      </c>
      <c r="BC5" s="26">
        <f t="shared" si="1"/>
        <v>46136</v>
      </c>
      <c r="BD5" s="26">
        <f t="shared" si="1"/>
        <v>46137</v>
      </c>
      <c r="BE5" s="27">
        <f t="shared" si="1"/>
        <v>46138</v>
      </c>
      <c r="BF5" s="25">
        <f t="shared" si="1"/>
        <v>46139</v>
      </c>
      <c r="BG5" s="26">
        <f t="shared" si="1"/>
        <v>46140</v>
      </c>
      <c r="BH5" s="26">
        <f t="shared" si="1"/>
        <v>46141</v>
      </c>
      <c r="BI5" s="26">
        <f t="shared" si="1"/>
        <v>46142</v>
      </c>
      <c r="BJ5" s="26">
        <f t="shared" si="1"/>
        <v>46143</v>
      </c>
      <c r="BK5" s="26">
        <f t="shared" si="1"/>
        <v>46144</v>
      </c>
      <c r="BL5" s="27">
        <f t="shared" si="1"/>
        <v>46145</v>
      </c>
      <c r="BM5" s="25">
        <f t="shared" si="1"/>
        <v>46146</v>
      </c>
      <c r="BN5" s="26">
        <f t="shared" si="1"/>
        <v>46147</v>
      </c>
      <c r="BO5" s="26">
        <f t="shared" si="1"/>
        <v>46148</v>
      </c>
      <c r="BP5" s="26">
        <f t="shared" si="1"/>
        <v>46149</v>
      </c>
      <c r="BQ5" s="26">
        <f t="shared" si="1"/>
        <v>46150</v>
      </c>
      <c r="BR5" s="26">
        <f t="shared" si="1"/>
        <v>46151</v>
      </c>
      <c r="BS5" s="27">
        <f t="shared" si="1"/>
        <v>46152</v>
      </c>
      <c r="BT5" s="25">
        <f t="shared" si="1"/>
        <v>46153</v>
      </c>
      <c r="BU5" s="26">
        <f t="shared" si="1"/>
        <v>46154</v>
      </c>
      <c r="BV5" s="26">
        <f t="shared" si="1"/>
        <v>46155</v>
      </c>
      <c r="BW5" s="26">
        <f t="shared" si="1"/>
        <v>46156</v>
      </c>
      <c r="BX5" s="26">
        <f t="shared" si="1"/>
        <v>46157</v>
      </c>
      <c r="BY5" s="26">
        <f t="shared" si="1"/>
        <v>46158</v>
      </c>
      <c r="BZ5" s="27">
        <f t="shared" si="1"/>
        <v>46159</v>
      </c>
      <c r="CA5" s="25">
        <f t="shared" ref="CA5:DB5" si="2">BZ5+1</f>
        <v>46160</v>
      </c>
      <c r="CB5" s="26">
        <f t="shared" si="2"/>
        <v>46161</v>
      </c>
      <c r="CC5" s="26">
        <f t="shared" si="2"/>
        <v>46162</v>
      </c>
      <c r="CD5" s="26">
        <f t="shared" si="2"/>
        <v>46163</v>
      </c>
      <c r="CE5" s="26">
        <f t="shared" si="2"/>
        <v>46164</v>
      </c>
      <c r="CF5" s="26">
        <f t="shared" si="2"/>
        <v>46165</v>
      </c>
      <c r="CG5" s="27">
        <f t="shared" si="2"/>
        <v>46166</v>
      </c>
      <c r="CH5" s="25">
        <f t="shared" si="2"/>
        <v>46167</v>
      </c>
      <c r="CI5" s="26">
        <f t="shared" si="2"/>
        <v>46168</v>
      </c>
      <c r="CJ5" s="26">
        <f t="shared" si="2"/>
        <v>46169</v>
      </c>
      <c r="CK5" s="26">
        <f t="shared" si="2"/>
        <v>46170</v>
      </c>
      <c r="CL5" s="26">
        <f t="shared" si="2"/>
        <v>46171</v>
      </c>
      <c r="CM5" s="26">
        <f t="shared" si="2"/>
        <v>46172</v>
      </c>
      <c r="CN5" s="27">
        <f t="shared" si="2"/>
        <v>46173</v>
      </c>
      <c r="CO5" s="25">
        <f t="shared" si="2"/>
        <v>46174</v>
      </c>
      <c r="CP5" s="26">
        <f t="shared" si="2"/>
        <v>46175</v>
      </c>
      <c r="CQ5" s="26">
        <f t="shared" si="2"/>
        <v>46176</v>
      </c>
      <c r="CR5" s="26">
        <f t="shared" si="2"/>
        <v>46177</v>
      </c>
      <c r="CS5" s="26">
        <f t="shared" si="2"/>
        <v>46178</v>
      </c>
      <c r="CT5" s="26">
        <f t="shared" si="2"/>
        <v>46179</v>
      </c>
      <c r="CU5" s="27">
        <f t="shared" si="2"/>
        <v>46180</v>
      </c>
      <c r="CV5" s="25">
        <f t="shared" si="2"/>
        <v>46181</v>
      </c>
      <c r="CW5" s="26">
        <f t="shared" si="2"/>
        <v>46182</v>
      </c>
      <c r="CX5" s="26">
        <f t="shared" si="2"/>
        <v>46183</v>
      </c>
      <c r="CY5" s="26">
        <f t="shared" si="2"/>
        <v>46184</v>
      </c>
      <c r="CZ5" s="26">
        <f t="shared" si="2"/>
        <v>46185</v>
      </c>
      <c r="DA5" s="26">
        <f t="shared" si="2"/>
        <v>46186</v>
      </c>
      <c r="DB5" s="27">
        <f t="shared" si="2"/>
        <v>46187</v>
      </c>
    </row>
    <row r="6" ht="30.0" customHeight="1">
      <c r="A6" s="1" t="s">
        <v>9</v>
      </c>
      <c r="B6" s="28" t="s">
        <v>10</v>
      </c>
      <c r="C6" s="29" t="s">
        <v>11</v>
      </c>
      <c r="D6" s="29"/>
      <c r="E6" s="29" t="s">
        <v>12</v>
      </c>
      <c r="F6" s="29" t="s">
        <v>13</v>
      </c>
      <c r="G6" s="29"/>
      <c r="H6" s="29" t="s">
        <v>14</v>
      </c>
      <c r="I6" s="30" t="str">
        <f t="shared" ref="I6:DB6" si="3">LEFT(TEXT(I5,"ddd"),1)</f>
        <v>l</v>
      </c>
      <c r="J6" s="30" t="str">
        <f t="shared" si="3"/>
        <v>m</v>
      </c>
      <c r="K6" s="30" t="str">
        <f t="shared" si="3"/>
        <v>m</v>
      </c>
      <c r="L6" s="30" t="str">
        <f t="shared" si="3"/>
        <v>j</v>
      </c>
      <c r="M6" s="30" t="str">
        <f t="shared" si="3"/>
        <v>v</v>
      </c>
      <c r="N6" s="30" t="str">
        <f t="shared" si="3"/>
        <v>s</v>
      </c>
      <c r="O6" s="30" t="str">
        <f t="shared" si="3"/>
        <v>d</v>
      </c>
      <c r="P6" s="30" t="str">
        <f t="shared" si="3"/>
        <v>l</v>
      </c>
      <c r="Q6" s="30" t="str">
        <f t="shared" si="3"/>
        <v>m</v>
      </c>
      <c r="R6" s="30" t="str">
        <f t="shared" si="3"/>
        <v>m</v>
      </c>
      <c r="S6" s="30" t="str">
        <f t="shared" si="3"/>
        <v>j</v>
      </c>
      <c r="T6" s="30" t="str">
        <f t="shared" si="3"/>
        <v>v</v>
      </c>
      <c r="U6" s="30" t="str">
        <f t="shared" si="3"/>
        <v>s</v>
      </c>
      <c r="V6" s="30" t="str">
        <f t="shared" si="3"/>
        <v>d</v>
      </c>
      <c r="W6" s="30" t="str">
        <f t="shared" si="3"/>
        <v>l</v>
      </c>
      <c r="X6" s="30" t="str">
        <f t="shared" si="3"/>
        <v>m</v>
      </c>
      <c r="Y6" s="30" t="str">
        <f t="shared" si="3"/>
        <v>m</v>
      </c>
      <c r="Z6" s="30" t="str">
        <f t="shared" si="3"/>
        <v>j</v>
      </c>
      <c r="AA6" s="30" t="str">
        <f t="shared" si="3"/>
        <v>v</v>
      </c>
      <c r="AB6" s="30" t="str">
        <f t="shared" si="3"/>
        <v>s</v>
      </c>
      <c r="AC6" s="30" t="str">
        <f t="shared" si="3"/>
        <v>d</v>
      </c>
      <c r="AD6" s="30" t="str">
        <f t="shared" si="3"/>
        <v>l</v>
      </c>
      <c r="AE6" s="30" t="str">
        <f t="shared" si="3"/>
        <v>m</v>
      </c>
      <c r="AF6" s="30" t="str">
        <f t="shared" si="3"/>
        <v>m</v>
      </c>
      <c r="AG6" s="30" t="str">
        <f t="shared" si="3"/>
        <v>j</v>
      </c>
      <c r="AH6" s="30" t="str">
        <f t="shared" si="3"/>
        <v>v</v>
      </c>
      <c r="AI6" s="30" t="str">
        <f t="shared" si="3"/>
        <v>s</v>
      </c>
      <c r="AJ6" s="30" t="str">
        <f t="shared" si="3"/>
        <v>d</v>
      </c>
      <c r="AK6" s="30" t="str">
        <f t="shared" si="3"/>
        <v>l</v>
      </c>
      <c r="AL6" s="30" t="str">
        <f t="shared" si="3"/>
        <v>m</v>
      </c>
      <c r="AM6" s="30" t="str">
        <f t="shared" si="3"/>
        <v>m</v>
      </c>
      <c r="AN6" s="30" t="str">
        <f t="shared" si="3"/>
        <v>j</v>
      </c>
      <c r="AO6" s="30" t="str">
        <f t="shared" si="3"/>
        <v>v</v>
      </c>
      <c r="AP6" s="30" t="str">
        <f t="shared" si="3"/>
        <v>s</v>
      </c>
      <c r="AQ6" s="30" t="str">
        <f t="shared" si="3"/>
        <v>d</v>
      </c>
      <c r="AR6" s="30" t="str">
        <f t="shared" si="3"/>
        <v>l</v>
      </c>
      <c r="AS6" s="30" t="str">
        <f t="shared" si="3"/>
        <v>m</v>
      </c>
      <c r="AT6" s="30" t="str">
        <f t="shared" si="3"/>
        <v>m</v>
      </c>
      <c r="AU6" s="30" t="str">
        <f t="shared" si="3"/>
        <v>j</v>
      </c>
      <c r="AV6" s="30" t="str">
        <f t="shared" si="3"/>
        <v>v</v>
      </c>
      <c r="AW6" s="30" t="str">
        <f t="shared" si="3"/>
        <v>s</v>
      </c>
      <c r="AX6" s="30" t="str">
        <f t="shared" si="3"/>
        <v>d</v>
      </c>
      <c r="AY6" s="30" t="str">
        <f t="shared" si="3"/>
        <v>l</v>
      </c>
      <c r="AZ6" s="30" t="str">
        <f t="shared" si="3"/>
        <v>m</v>
      </c>
      <c r="BA6" s="30" t="str">
        <f t="shared" si="3"/>
        <v>m</v>
      </c>
      <c r="BB6" s="30" t="str">
        <f t="shared" si="3"/>
        <v>j</v>
      </c>
      <c r="BC6" s="30" t="str">
        <f t="shared" si="3"/>
        <v>v</v>
      </c>
      <c r="BD6" s="30" t="str">
        <f t="shared" si="3"/>
        <v>s</v>
      </c>
      <c r="BE6" s="30" t="str">
        <f t="shared" si="3"/>
        <v>d</v>
      </c>
      <c r="BF6" s="30" t="str">
        <f t="shared" si="3"/>
        <v>l</v>
      </c>
      <c r="BG6" s="30" t="str">
        <f t="shared" si="3"/>
        <v>m</v>
      </c>
      <c r="BH6" s="30" t="str">
        <f t="shared" si="3"/>
        <v>m</v>
      </c>
      <c r="BI6" s="30" t="str">
        <f t="shared" si="3"/>
        <v>j</v>
      </c>
      <c r="BJ6" s="30" t="str">
        <f t="shared" si="3"/>
        <v>v</v>
      </c>
      <c r="BK6" s="30" t="str">
        <f t="shared" si="3"/>
        <v>s</v>
      </c>
      <c r="BL6" s="30" t="str">
        <f t="shared" si="3"/>
        <v>d</v>
      </c>
      <c r="BM6" s="30" t="str">
        <f t="shared" si="3"/>
        <v>l</v>
      </c>
      <c r="BN6" s="30" t="str">
        <f t="shared" si="3"/>
        <v>m</v>
      </c>
      <c r="BO6" s="30" t="str">
        <f t="shared" si="3"/>
        <v>m</v>
      </c>
      <c r="BP6" s="30" t="str">
        <f t="shared" si="3"/>
        <v>j</v>
      </c>
      <c r="BQ6" s="30" t="str">
        <f t="shared" si="3"/>
        <v>v</v>
      </c>
      <c r="BR6" s="30" t="str">
        <f t="shared" si="3"/>
        <v>s</v>
      </c>
      <c r="BS6" s="30" t="str">
        <f t="shared" si="3"/>
        <v>d</v>
      </c>
      <c r="BT6" s="30" t="str">
        <f t="shared" si="3"/>
        <v>l</v>
      </c>
      <c r="BU6" s="30" t="str">
        <f t="shared" si="3"/>
        <v>m</v>
      </c>
      <c r="BV6" s="30" t="str">
        <f t="shared" si="3"/>
        <v>m</v>
      </c>
      <c r="BW6" s="30" t="str">
        <f t="shared" si="3"/>
        <v>j</v>
      </c>
      <c r="BX6" s="30" t="str">
        <f t="shared" si="3"/>
        <v>v</v>
      </c>
      <c r="BY6" s="30" t="str">
        <f t="shared" si="3"/>
        <v>s</v>
      </c>
      <c r="BZ6" s="30" t="str">
        <f t="shared" si="3"/>
        <v>d</v>
      </c>
      <c r="CA6" s="30" t="str">
        <f t="shared" si="3"/>
        <v>l</v>
      </c>
      <c r="CB6" s="30" t="str">
        <f t="shared" si="3"/>
        <v>m</v>
      </c>
      <c r="CC6" s="30" t="str">
        <f t="shared" si="3"/>
        <v>m</v>
      </c>
      <c r="CD6" s="30" t="str">
        <f t="shared" si="3"/>
        <v>j</v>
      </c>
      <c r="CE6" s="30" t="str">
        <f t="shared" si="3"/>
        <v>v</v>
      </c>
      <c r="CF6" s="30" t="str">
        <f t="shared" si="3"/>
        <v>s</v>
      </c>
      <c r="CG6" s="30" t="str">
        <f t="shared" si="3"/>
        <v>d</v>
      </c>
      <c r="CH6" s="30" t="str">
        <f t="shared" si="3"/>
        <v>l</v>
      </c>
      <c r="CI6" s="30" t="str">
        <f t="shared" si="3"/>
        <v>m</v>
      </c>
      <c r="CJ6" s="30" t="str">
        <f t="shared" si="3"/>
        <v>m</v>
      </c>
      <c r="CK6" s="30" t="str">
        <f t="shared" si="3"/>
        <v>j</v>
      </c>
      <c r="CL6" s="30" t="str">
        <f t="shared" si="3"/>
        <v>v</v>
      </c>
      <c r="CM6" s="30" t="str">
        <f t="shared" si="3"/>
        <v>s</v>
      </c>
      <c r="CN6" s="30" t="str">
        <f t="shared" si="3"/>
        <v>d</v>
      </c>
      <c r="CO6" s="30" t="str">
        <f t="shared" si="3"/>
        <v>l</v>
      </c>
      <c r="CP6" s="30" t="str">
        <f t="shared" si="3"/>
        <v>m</v>
      </c>
      <c r="CQ6" s="30" t="str">
        <f t="shared" si="3"/>
        <v>m</v>
      </c>
      <c r="CR6" s="30" t="str">
        <f t="shared" si="3"/>
        <v>j</v>
      </c>
      <c r="CS6" s="30" t="str">
        <f t="shared" si="3"/>
        <v>v</v>
      </c>
      <c r="CT6" s="30" t="str">
        <f t="shared" si="3"/>
        <v>s</v>
      </c>
      <c r="CU6" s="30" t="str">
        <f t="shared" si="3"/>
        <v>d</v>
      </c>
      <c r="CV6" s="30" t="str">
        <f t="shared" si="3"/>
        <v>l</v>
      </c>
      <c r="CW6" s="30" t="str">
        <f t="shared" si="3"/>
        <v>m</v>
      </c>
      <c r="CX6" s="30" t="str">
        <f t="shared" si="3"/>
        <v>m</v>
      </c>
      <c r="CY6" s="30" t="str">
        <f t="shared" si="3"/>
        <v>j</v>
      </c>
      <c r="CZ6" s="30" t="str">
        <f t="shared" si="3"/>
        <v>v</v>
      </c>
      <c r="DA6" s="30" t="str">
        <f t="shared" si="3"/>
        <v>s</v>
      </c>
      <c r="DB6" s="30" t="str">
        <f t="shared" si="3"/>
        <v>d</v>
      </c>
    </row>
    <row r="7" ht="30.0" hidden="1" customHeight="1">
      <c r="A7" s="8" t="s">
        <v>15</v>
      </c>
      <c r="C7" s="31"/>
      <c r="H7" s="32" t="str">
        <f>IF(OR(ISBLANK(ProjectSchedule!task_start),ISBLANK(ProjectSchedule!task_end)),"",ProjectSchedule!task_end-ProjectSchedule!task_start+1)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row>
    <row r="8" ht="30.0" customHeight="1">
      <c r="A8" s="1" t="s">
        <v>16</v>
      </c>
      <c r="B8" s="35" t="s">
        <v>17</v>
      </c>
      <c r="C8" s="36"/>
      <c r="D8" s="37"/>
      <c r="E8" s="38"/>
      <c r="F8" s="38"/>
      <c r="G8" s="39"/>
      <c r="H8" s="39" t="str">
        <f>IF(OR(ISBLANK(ProjectSchedule!task_start),ISBLANK(ProjectSchedule!task_end)),"",ProjectSchedule!task_end-ProjectSchedule!task_start+1)</f>
        <v/>
      </c>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row>
    <row r="9" ht="30.0" customHeight="1">
      <c r="A9" s="1" t="s">
        <v>18</v>
      </c>
      <c r="B9" s="40" t="s">
        <v>19</v>
      </c>
      <c r="C9" s="41" t="s">
        <v>20</v>
      </c>
      <c r="D9" s="41"/>
      <c r="E9" s="42">
        <f>Inicio_del_proyecto</f>
        <v>46093</v>
      </c>
      <c r="F9" s="42">
        <f>E9+3</f>
        <v>46096</v>
      </c>
      <c r="G9" s="39"/>
      <c r="H9" s="39" t="str">
        <f>IF(OR(ISBLANK(ProjectSchedule!task_start),ISBLANK(ProjectSchedule!task_end)),"",ProjectSchedule!task_end-ProjectSchedule!task_start+1)</f>
        <v/>
      </c>
      <c r="I9" s="33"/>
      <c r="J9" s="33"/>
      <c r="K9" s="33"/>
      <c r="L9" s="38"/>
      <c r="M9" s="38"/>
      <c r="N9" s="38"/>
      <c r="O9" s="38"/>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row>
    <row r="10" ht="30.0" customHeight="1">
      <c r="A10" s="1" t="s">
        <v>21</v>
      </c>
      <c r="B10" s="40" t="s">
        <v>22</v>
      </c>
      <c r="C10" s="41" t="s">
        <v>23</v>
      </c>
      <c r="D10" s="43"/>
      <c r="E10" s="42">
        <f t="shared" ref="E10:E11" si="4">F9</f>
        <v>46096</v>
      </c>
      <c r="F10" s="42">
        <f>E10+2</f>
        <v>46098</v>
      </c>
      <c r="G10" s="39"/>
      <c r="H10" s="39" t="str">
        <f>IF(OR(ISBLANK(ProjectSchedule!task_start),ISBLANK(ProjectSchedule!task_end)),"",ProjectSchedule!task_end-ProjectSchedule!task_start+1)</f>
        <v/>
      </c>
      <c r="I10" s="33"/>
      <c r="J10" s="33"/>
      <c r="K10" s="33"/>
      <c r="L10" s="33"/>
      <c r="M10" s="33"/>
      <c r="N10" s="33"/>
      <c r="O10" s="38"/>
      <c r="P10" s="38"/>
      <c r="Q10" s="38"/>
      <c r="R10" s="33"/>
      <c r="S10" s="33"/>
      <c r="T10" s="33"/>
      <c r="U10" s="44"/>
      <c r="V10" s="44"/>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row>
    <row r="11" ht="30.0" customHeight="1">
      <c r="A11" s="8"/>
      <c r="B11" s="40" t="s">
        <v>24</v>
      </c>
      <c r="C11" s="41" t="s">
        <v>25</v>
      </c>
      <c r="D11" s="45"/>
      <c r="E11" s="42">
        <f t="shared" si="4"/>
        <v>46098</v>
      </c>
      <c r="F11" s="42">
        <f>E11+4</f>
        <v>46102</v>
      </c>
      <c r="G11" s="39"/>
      <c r="H11" s="39" t="str">
        <f>IF(OR(ISBLANK(ProjectSchedule!task_start),ISBLANK(ProjectSchedule!task_end)),"",ProjectSchedule!task_end-ProjectSchedule!task_start+1)</f>
        <v/>
      </c>
      <c r="I11" s="33"/>
      <c r="J11" s="33"/>
      <c r="K11" s="33"/>
      <c r="L11" s="33"/>
      <c r="M11" s="33"/>
      <c r="N11" s="33"/>
      <c r="O11" s="33"/>
      <c r="P11" s="33"/>
      <c r="Q11" s="38"/>
      <c r="R11" s="38"/>
      <c r="S11" s="38"/>
      <c r="T11" s="38"/>
      <c r="U11" s="38"/>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row>
    <row r="12" ht="30.0" customHeight="1">
      <c r="A12" s="8"/>
      <c r="B12" s="40" t="s">
        <v>26</v>
      </c>
      <c r="C12" s="41" t="s">
        <v>23</v>
      </c>
      <c r="D12" s="45"/>
      <c r="E12" s="42">
        <f>E10+1</f>
        <v>46097</v>
      </c>
      <c r="F12" s="42">
        <f>E12+2</f>
        <v>46099</v>
      </c>
      <c r="G12" s="39"/>
      <c r="H12" s="39" t="str">
        <f>IF(OR(ISBLANK(ProjectSchedule!task_start),ISBLANK(ProjectSchedule!task_end)),"",ProjectSchedule!task_end-ProjectSchedule!task_start+1)</f>
        <v/>
      </c>
      <c r="I12" s="33"/>
      <c r="J12" s="33"/>
      <c r="K12" s="33"/>
      <c r="L12" s="33"/>
      <c r="M12" s="33"/>
      <c r="N12" s="33"/>
      <c r="O12" s="33"/>
      <c r="P12" s="38"/>
      <c r="Q12" s="38"/>
      <c r="R12" s="38"/>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row>
    <row r="13" ht="30.0" customHeight="1">
      <c r="A13" s="8"/>
      <c r="B13" s="40" t="s">
        <v>27</v>
      </c>
      <c r="C13" s="41" t="s">
        <v>28</v>
      </c>
      <c r="D13" s="45"/>
      <c r="E13" s="42">
        <f>Inicio_del_proyecto+18</f>
        <v>46111</v>
      </c>
      <c r="F13" s="42">
        <f>E13+19</f>
        <v>46130</v>
      </c>
      <c r="G13" s="39"/>
      <c r="H13" s="39"/>
      <c r="I13" s="33"/>
      <c r="J13" s="33"/>
      <c r="K13" s="33"/>
      <c r="L13" s="33"/>
      <c r="M13" s="33"/>
      <c r="N13" s="33"/>
      <c r="O13" s="33"/>
      <c r="S13" s="33"/>
      <c r="T13" s="33"/>
      <c r="U13" s="33"/>
      <c r="V13" s="33"/>
      <c r="W13" s="33"/>
      <c r="X13" s="33"/>
      <c r="Y13" s="33"/>
      <c r="Z13" s="33"/>
      <c r="AA13" s="33"/>
      <c r="AB13" s="33"/>
      <c r="AC13" s="33"/>
      <c r="AD13" s="46"/>
      <c r="AE13" s="46"/>
      <c r="AF13" s="46"/>
      <c r="AG13" s="46"/>
      <c r="AH13" s="46"/>
      <c r="AI13" s="46"/>
      <c r="AJ13" s="46"/>
      <c r="AK13" s="46"/>
      <c r="AL13" s="46"/>
      <c r="AM13" s="46"/>
      <c r="AN13" s="46"/>
      <c r="AO13" s="46"/>
      <c r="AP13" s="46"/>
      <c r="AQ13" s="46"/>
      <c r="AR13" s="46"/>
      <c r="AS13" s="46"/>
      <c r="AT13" s="46"/>
      <c r="AU13" s="46"/>
      <c r="AV13" s="46"/>
      <c r="AW13" s="46"/>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row>
    <row r="14" ht="30.0" customHeight="1">
      <c r="A14" s="1" t="s">
        <v>29</v>
      </c>
      <c r="B14" s="47" t="s">
        <v>30</v>
      </c>
      <c r="C14" s="48"/>
      <c r="D14" s="49"/>
      <c r="E14" s="50"/>
      <c r="F14" s="50"/>
      <c r="G14" s="39"/>
      <c r="H14" s="39" t="str">
        <f>IF(OR(ISBLANK(ProjectSchedule!task_start),ISBLANK(ProjectSchedule!task_end)),"",ProjectSchedule!task_end-ProjectSchedule!task_start+1)</f>
        <v/>
      </c>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row>
    <row r="15" ht="30.0" customHeight="1">
      <c r="A15" s="1"/>
      <c r="B15" s="51" t="s">
        <v>31</v>
      </c>
      <c r="C15" s="52" t="s">
        <v>20</v>
      </c>
      <c r="D15" s="53"/>
      <c r="E15" s="54">
        <f>E12+1</f>
        <v>46098</v>
      </c>
      <c r="F15" s="54">
        <f>E15+4</f>
        <v>46102</v>
      </c>
      <c r="G15" s="39"/>
      <c r="H15" s="39" t="str">
        <f>IF(OR(ISBLANK(ProjectSchedule!task_start),ISBLANK(ProjectSchedule!task_end)),"",ProjectSchedule!task_end-ProjectSchedule!task_start+1)</f>
        <v/>
      </c>
      <c r="I15" s="33"/>
      <c r="J15" s="33"/>
      <c r="K15" s="33"/>
      <c r="L15" s="33"/>
      <c r="M15" s="33"/>
      <c r="N15" s="33"/>
      <c r="O15" s="50"/>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row>
    <row r="16" ht="30.0" customHeight="1">
      <c r="A16" s="8"/>
      <c r="B16" s="51" t="s">
        <v>32</v>
      </c>
      <c r="C16" s="52" t="s">
        <v>23</v>
      </c>
      <c r="D16" s="53"/>
      <c r="E16" s="54">
        <f>E15+2</f>
        <v>46100</v>
      </c>
      <c r="F16" s="54">
        <f>E16+5</f>
        <v>46105</v>
      </c>
      <c r="G16" s="39"/>
      <c r="H16" s="39" t="str">
        <f>IF(OR(ISBLANK(ProjectSchedule!task_start),ISBLANK(ProjectSchedule!task_end)),"",ProjectSchedule!task_end-ProjectSchedule!task_start+1)</f>
        <v/>
      </c>
      <c r="I16" s="33"/>
      <c r="J16" s="33"/>
      <c r="K16" s="33"/>
      <c r="L16" s="33"/>
      <c r="M16" s="33"/>
      <c r="N16" s="33"/>
      <c r="O16" s="33"/>
      <c r="P16" s="33"/>
      <c r="Q16" s="33"/>
      <c r="R16" s="33"/>
      <c r="S16" s="33"/>
      <c r="T16" s="33"/>
      <c r="U16" s="44"/>
      <c r="V16" s="44"/>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row>
    <row r="17" ht="30.0" customHeight="1">
      <c r="A17" s="8"/>
      <c r="B17" s="51" t="s">
        <v>33</v>
      </c>
      <c r="C17" s="52" t="s">
        <v>23</v>
      </c>
      <c r="D17" s="53"/>
      <c r="E17" s="54">
        <f>F16</f>
        <v>46105</v>
      </c>
      <c r="F17" s="54">
        <f>E17+3</f>
        <v>46108</v>
      </c>
      <c r="G17" s="39"/>
      <c r="H17" s="39" t="str">
        <f>IF(OR(ISBLANK(ProjectSchedule!task_start),ISBLANK(ProjectSchedule!task_end)),"",ProjectSchedule!task_end-ProjectSchedule!task_start+1)</f>
        <v/>
      </c>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row>
    <row r="18" ht="30.0" customHeight="1">
      <c r="A18" s="8"/>
      <c r="B18" s="51" t="s">
        <v>34</v>
      </c>
      <c r="C18" s="52" t="s">
        <v>23</v>
      </c>
      <c r="D18" s="53"/>
      <c r="E18" s="54">
        <f t="shared" ref="E18:E19" si="5">E17</f>
        <v>46105</v>
      </c>
      <c r="F18" s="54">
        <f>E18+2</f>
        <v>46107</v>
      </c>
      <c r="G18" s="39"/>
      <c r="H18" s="39" t="str">
        <f>IF(OR(ISBLANK(ProjectSchedule!task_start),ISBLANK(ProjectSchedule!task_end)),"",ProjectSchedule!task_end-ProjectSchedule!task_start+1)</f>
        <v/>
      </c>
      <c r="I18" s="33"/>
      <c r="J18" s="33"/>
      <c r="K18" s="33"/>
      <c r="L18" s="33"/>
      <c r="M18" s="33"/>
      <c r="N18" s="33"/>
      <c r="O18" s="33"/>
      <c r="P18" s="33"/>
      <c r="Q18" s="33"/>
      <c r="R18" s="33"/>
      <c r="S18" s="33"/>
      <c r="T18" s="33"/>
      <c r="U18" s="33"/>
      <c r="V18" s="33"/>
      <c r="W18" s="33"/>
      <c r="X18" s="33"/>
      <c r="Y18" s="44"/>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row>
    <row r="19" ht="30.0" customHeight="1">
      <c r="A19" s="8"/>
      <c r="B19" s="51" t="s">
        <v>35</v>
      </c>
      <c r="C19" s="52" t="s">
        <v>20</v>
      </c>
      <c r="D19" s="53"/>
      <c r="E19" s="54">
        <f t="shared" si="5"/>
        <v>46105</v>
      </c>
      <c r="F19" s="54">
        <f>E19+3</f>
        <v>46108</v>
      </c>
      <c r="G19" s="39"/>
      <c r="H19" s="39" t="str">
        <f>IF(OR(ISBLANK(ProjectSchedule!task_start),ISBLANK(ProjectSchedule!task_end)),"",ProjectSchedule!task_end-ProjectSchedule!task_start+1)</f>
        <v/>
      </c>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row>
    <row r="20" ht="30.0" customHeight="1">
      <c r="A20" s="8" t="s">
        <v>36</v>
      </c>
      <c r="B20" s="55" t="s">
        <v>37</v>
      </c>
      <c r="C20" s="56"/>
      <c r="D20" s="57"/>
      <c r="E20" s="58"/>
      <c r="F20" s="58"/>
      <c r="G20" s="39"/>
      <c r="H20" s="39" t="str">
        <f>IF(OR(ISBLANK(ProjectSchedule!task_start),ISBLANK(ProjectSchedule!task_end)),"",ProjectSchedule!task_end-ProjectSchedule!task_start+1)</f>
        <v/>
      </c>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row>
    <row r="21" ht="30.0" customHeight="1">
      <c r="A21" s="8"/>
      <c r="B21" s="59" t="s">
        <v>38</v>
      </c>
      <c r="C21" s="60"/>
      <c r="D21" s="61"/>
      <c r="E21" s="62">
        <f>E9+15</f>
        <v>46108</v>
      </c>
      <c r="F21" s="62">
        <f>E21+5</f>
        <v>46113</v>
      </c>
      <c r="G21" s="39"/>
      <c r="H21" s="39" t="str">
        <f>IF(OR(ISBLANK(ProjectSchedule!task_start),ISBLANK(ProjectSchedule!task_end)),"",ProjectSchedule!task_end-ProjectSchedule!task_start+1)</f>
        <v/>
      </c>
      <c r="I21" s="33"/>
      <c r="J21" s="33"/>
      <c r="K21" s="33"/>
      <c r="L21" s="33"/>
      <c r="M21" s="33"/>
      <c r="N21" s="33"/>
      <c r="O21" s="33"/>
      <c r="P21" s="58"/>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row>
    <row r="22" ht="30.0" customHeight="1">
      <c r="A22" s="8"/>
      <c r="B22" s="59" t="s">
        <v>39</v>
      </c>
      <c r="C22" s="60"/>
      <c r="D22" s="61"/>
      <c r="E22" s="62">
        <f>F21+1</f>
        <v>46114</v>
      </c>
      <c r="F22" s="62">
        <f>E22+4</f>
        <v>46118</v>
      </c>
      <c r="G22" s="39"/>
      <c r="H22" s="39" t="str">
        <f>IF(OR(ISBLANK(ProjectSchedule!task_start),ISBLANK(ProjectSchedule!task_end)),"",ProjectSchedule!task_end-ProjectSchedule!task_start+1)</f>
        <v/>
      </c>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row>
    <row r="23" ht="30.0" customHeight="1">
      <c r="A23" s="8"/>
      <c r="B23" s="59" t="s">
        <v>40</v>
      </c>
      <c r="C23" s="60"/>
      <c r="D23" s="61"/>
      <c r="E23" s="62">
        <f>E22+5</f>
        <v>46119</v>
      </c>
      <c r="F23" s="62">
        <f>E23+5</f>
        <v>46124</v>
      </c>
      <c r="G23" s="39"/>
      <c r="H23" s="39" t="str">
        <f>IF(OR(ISBLANK(ProjectSchedule!task_start),ISBLANK(ProjectSchedule!task_end)),"",ProjectSchedule!task_end-ProjectSchedule!task_start+1)</f>
        <v/>
      </c>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row>
    <row r="24" ht="30.0" customHeight="1">
      <c r="A24" s="8"/>
      <c r="B24" s="59" t="s">
        <v>41</v>
      </c>
      <c r="C24" s="60"/>
      <c r="D24" s="61"/>
      <c r="E24" s="62">
        <f>F23+1</f>
        <v>46125</v>
      </c>
      <c r="F24" s="62">
        <f t="shared" ref="F24:F25" si="6">E24+4</f>
        <v>46129</v>
      </c>
      <c r="G24" s="39"/>
      <c r="H24" s="39" t="str">
        <f>IF(OR(ISBLANK(ProjectSchedule!task_start),ISBLANK(ProjectSchedule!task_end)),"",ProjectSchedule!task_end-ProjectSchedule!task_start+1)</f>
        <v/>
      </c>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row>
    <row r="25" ht="30.0" customHeight="1">
      <c r="A25" s="8"/>
      <c r="B25" s="59" t="s">
        <v>42</v>
      </c>
      <c r="C25" s="60"/>
      <c r="D25" s="61"/>
      <c r="E25" s="62">
        <f>E23</f>
        <v>46119</v>
      </c>
      <c r="F25" s="62">
        <f t="shared" si="6"/>
        <v>46123</v>
      </c>
      <c r="G25" s="39"/>
      <c r="H25" s="39" t="str">
        <f>IF(OR(ISBLANK(ProjectSchedule!task_start),ISBLANK(ProjectSchedule!task_end)),"",ProjectSchedule!task_end-ProjectSchedule!task_start+1)</f>
        <v/>
      </c>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row>
    <row r="26" ht="30.0" customHeight="1">
      <c r="A26" s="8" t="s">
        <v>36</v>
      </c>
      <c r="B26" s="63" t="s">
        <v>43</v>
      </c>
      <c r="C26" s="64"/>
      <c r="D26" s="65"/>
      <c r="E26" s="66"/>
      <c r="F26" s="66"/>
      <c r="G26" s="39"/>
      <c r="H26" s="39" t="str">
        <f>IF(OR(ISBLANK(ProjectSchedule!task_start),ISBLANK(ProjectSchedule!task_end)),"",ProjectSchedule!task_end-ProjectSchedule!task_start+1)</f>
        <v/>
      </c>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row>
    <row r="27" ht="30.0" customHeight="1">
      <c r="A27" s="8"/>
      <c r="B27" s="67" t="s">
        <v>38</v>
      </c>
      <c r="C27" s="68"/>
      <c r="D27" s="69"/>
      <c r="E27" s="70" t="s">
        <v>44</v>
      </c>
      <c r="F27" s="70" t="s">
        <v>44</v>
      </c>
      <c r="G27" s="39"/>
      <c r="H27" s="39" t="str">
        <f>IF(OR(ISBLANK(ProjectSchedule!task_start),ISBLANK(ProjectSchedule!task_end)),"",ProjectSchedule!task_end-ProjectSchedule!task_start+1)</f>
        <v/>
      </c>
      <c r="I27" s="33"/>
      <c r="J27" s="33"/>
      <c r="K27" s="33"/>
      <c r="L27" s="33"/>
      <c r="M27" s="33"/>
      <c r="N27" s="33"/>
      <c r="O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row>
    <row r="28" ht="30.0" customHeight="1">
      <c r="A28" s="8"/>
      <c r="B28" s="67" t="s">
        <v>39</v>
      </c>
      <c r="C28" s="68"/>
      <c r="D28" s="69"/>
      <c r="E28" s="70" t="s">
        <v>44</v>
      </c>
      <c r="F28" s="70" t="s">
        <v>44</v>
      </c>
      <c r="G28" s="39"/>
      <c r="H28" s="39" t="str">
        <f>IF(OR(ISBLANK(ProjectSchedule!task_start),ISBLANK(ProjectSchedule!task_end)),"",ProjectSchedule!task_end-ProjectSchedule!task_start+1)</f>
        <v/>
      </c>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row>
    <row r="29" ht="30.0" customHeight="1">
      <c r="A29" s="8"/>
      <c r="B29" s="67" t="s">
        <v>40</v>
      </c>
      <c r="C29" s="68"/>
      <c r="D29" s="69"/>
      <c r="E29" s="70" t="s">
        <v>44</v>
      </c>
      <c r="F29" s="70" t="s">
        <v>44</v>
      </c>
      <c r="G29" s="39"/>
      <c r="H29" s="39" t="str">
        <f>IF(OR(ISBLANK(ProjectSchedule!task_start),ISBLANK(ProjectSchedule!task_end)),"",ProjectSchedule!task_end-ProjectSchedule!task_start+1)</f>
        <v/>
      </c>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row>
    <row r="30" ht="30.0" customHeight="1">
      <c r="A30" s="8"/>
      <c r="B30" s="67" t="s">
        <v>41</v>
      </c>
      <c r="C30" s="68"/>
      <c r="D30" s="69"/>
      <c r="E30" s="70" t="s">
        <v>44</v>
      </c>
      <c r="F30" s="70" t="s">
        <v>44</v>
      </c>
      <c r="G30" s="39"/>
      <c r="H30" s="39" t="str">
        <f>IF(OR(ISBLANK(ProjectSchedule!task_start),ISBLANK(ProjectSchedule!task_end)),"",ProjectSchedule!task_end-ProjectSchedule!task_start+1)</f>
        <v/>
      </c>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row>
    <row r="31" ht="30.0" customHeight="1">
      <c r="A31" s="8"/>
      <c r="B31" s="67" t="s">
        <v>42</v>
      </c>
      <c r="C31" s="68"/>
      <c r="D31" s="69"/>
      <c r="E31" s="70" t="s">
        <v>44</v>
      </c>
      <c r="F31" s="70" t="s">
        <v>44</v>
      </c>
      <c r="G31" s="39"/>
      <c r="H31" s="39" t="str">
        <f>IF(OR(ISBLANK(ProjectSchedule!task_start),ISBLANK(ProjectSchedule!task_end)),"",ProjectSchedule!task_end-ProjectSchedule!task_start+1)</f>
        <v/>
      </c>
      <c r="I31" s="33"/>
      <c r="J31" s="33"/>
      <c r="K31" s="33"/>
      <c r="L31" s="33"/>
      <c r="M31" s="33"/>
      <c r="N31" s="33"/>
      <c r="O31" s="33"/>
      <c r="P31" s="66"/>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row>
    <row r="32" ht="30.0" customHeight="1">
      <c r="A32" s="8" t="s">
        <v>36</v>
      </c>
      <c r="B32" s="71" t="s">
        <v>45</v>
      </c>
      <c r="C32" s="72"/>
      <c r="D32" s="73"/>
      <c r="E32" s="74"/>
      <c r="F32" s="74"/>
      <c r="G32" s="39"/>
      <c r="H32" s="39" t="str">
        <f>IF(OR(ISBLANK(ProjectSchedule!task_start),ISBLANK(ProjectSchedule!task_end)),"",ProjectSchedule!task_end-ProjectSchedule!task_start+1)</f>
        <v/>
      </c>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row>
    <row r="33" ht="30.0" customHeight="1">
      <c r="A33" s="8"/>
      <c r="B33" s="75" t="s">
        <v>38</v>
      </c>
      <c r="C33" s="76"/>
      <c r="D33" s="77"/>
      <c r="E33" s="78" t="s">
        <v>44</v>
      </c>
      <c r="F33" s="78" t="s">
        <v>44</v>
      </c>
      <c r="G33" s="39"/>
      <c r="H33" s="39" t="str">
        <f>IF(OR(ISBLANK(ProjectSchedule!task_start),ISBLANK(ProjectSchedule!task_end)),"",ProjectSchedule!task_end-ProjectSchedule!task_start+1)</f>
        <v/>
      </c>
      <c r="I33" s="33"/>
      <c r="J33" s="33"/>
      <c r="K33" s="33"/>
      <c r="L33" s="33"/>
      <c r="M33" s="33"/>
      <c r="N33" s="33"/>
      <c r="O33" s="33"/>
      <c r="P33" s="79"/>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row>
    <row r="34" ht="30.0" customHeight="1">
      <c r="A34" s="8"/>
      <c r="B34" s="75" t="s">
        <v>39</v>
      </c>
      <c r="C34" s="76"/>
      <c r="D34" s="77"/>
      <c r="E34" s="78" t="s">
        <v>44</v>
      </c>
      <c r="F34" s="78" t="s">
        <v>44</v>
      </c>
      <c r="G34" s="39"/>
      <c r="H34" s="39" t="str">
        <f>IF(OR(ISBLANK(ProjectSchedule!task_start),ISBLANK(ProjectSchedule!task_end)),"",ProjectSchedule!task_end-ProjectSchedule!task_start+1)</f>
        <v/>
      </c>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row>
    <row r="35" ht="30.0" customHeight="1">
      <c r="A35" s="8"/>
      <c r="B35" s="75" t="s">
        <v>40</v>
      </c>
      <c r="C35" s="76"/>
      <c r="D35" s="77"/>
      <c r="E35" s="78" t="s">
        <v>44</v>
      </c>
      <c r="F35" s="78" t="s">
        <v>44</v>
      </c>
      <c r="G35" s="39"/>
      <c r="H35" s="39" t="str">
        <f>IF(OR(ISBLANK(ProjectSchedule!task_start),ISBLANK(ProjectSchedule!task_end)),"",ProjectSchedule!task_end-ProjectSchedule!task_start+1)</f>
        <v/>
      </c>
      <c r="I35" s="33"/>
      <c r="J35" s="33"/>
      <c r="K35" s="33"/>
      <c r="L35" s="33"/>
      <c r="M35" s="74"/>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row>
    <row r="36" ht="30.0" customHeight="1">
      <c r="A36" s="8"/>
      <c r="B36" s="75" t="s">
        <v>41</v>
      </c>
      <c r="C36" s="76"/>
      <c r="D36" s="77"/>
      <c r="E36" s="78" t="s">
        <v>44</v>
      </c>
      <c r="F36" s="78" t="s">
        <v>44</v>
      </c>
      <c r="G36" s="39"/>
      <c r="H36" s="39" t="str">
        <f>IF(OR(ISBLANK(ProjectSchedule!task_start),ISBLANK(ProjectSchedule!task_end)),"",ProjectSchedule!task_end-ProjectSchedule!task_start+1)</f>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row>
    <row r="37" ht="30.0" customHeight="1">
      <c r="A37" s="8"/>
      <c r="B37" s="75" t="s">
        <v>42</v>
      </c>
      <c r="C37" s="76"/>
      <c r="D37" s="77"/>
      <c r="E37" s="78" t="s">
        <v>44</v>
      </c>
      <c r="F37" s="78" t="s">
        <v>44</v>
      </c>
      <c r="G37" s="39"/>
      <c r="H37" s="39" t="str">
        <f>IF(OR(ISBLANK(ProjectSchedule!task_start),ISBLANK(ProjectSchedule!task_end)),"",ProjectSchedule!task_end-ProjectSchedule!task_start+1)</f>
        <v/>
      </c>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row>
    <row r="38" ht="30.0" customHeight="1">
      <c r="A38" s="8" t="s">
        <v>36</v>
      </c>
      <c r="B38" s="80" t="s">
        <v>46</v>
      </c>
      <c r="C38" s="81"/>
      <c r="D38" s="82"/>
      <c r="E38" s="83"/>
      <c r="F38" s="83"/>
      <c r="G38" s="39"/>
      <c r="H38" s="39" t="str">
        <f>IF(OR(ISBLANK(ProjectSchedule!task_start),ISBLANK(ProjectSchedule!task_end)),"",ProjectSchedule!task_end-ProjectSchedule!task_start+1)</f>
        <v/>
      </c>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row>
    <row r="39" ht="30.0" customHeight="1">
      <c r="A39" s="8"/>
      <c r="B39" s="84" t="s">
        <v>38</v>
      </c>
      <c r="C39" s="85"/>
      <c r="D39" s="86"/>
      <c r="E39" s="87" t="s">
        <v>44</v>
      </c>
      <c r="F39" s="87" t="s">
        <v>44</v>
      </c>
      <c r="G39" s="39"/>
      <c r="H39" s="39" t="str">
        <f>IF(OR(ISBLANK(ProjectSchedule!task_start),ISBLANK(ProjectSchedule!task_end)),"",ProjectSchedule!task_end-ProjectSchedule!task_start+1)</f>
        <v/>
      </c>
      <c r="I39" s="33"/>
      <c r="J39" s="33"/>
      <c r="K39" s="33"/>
      <c r="L39" s="33"/>
      <c r="M39" s="33"/>
      <c r="N39" s="33"/>
      <c r="O39" s="33"/>
      <c r="P39" s="8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row>
    <row r="40" ht="30.0" customHeight="1">
      <c r="A40" s="8"/>
      <c r="B40" s="84" t="s">
        <v>39</v>
      </c>
      <c r="C40" s="85"/>
      <c r="D40" s="86"/>
      <c r="E40" s="87" t="s">
        <v>44</v>
      </c>
      <c r="F40" s="87" t="s">
        <v>44</v>
      </c>
      <c r="G40" s="39"/>
      <c r="H40" s="39" t="str">
        <f>IF(OR(ISBLANK(ProjectSchedule!task_start),ISBLANK(ProjectSchedule!task_end)),"",ProjectSchedule!task_end-ProjectSchedule!task_start+1)</f>
        <v/>
      </c>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row>
    <row r="41" ht="30.0" customHeight="1">
      <c r="A41" s="8"/>
      <c r="B41" s="84" t="s">
        <v>40</v>
      </c>
      <c r="C41" s="85"/>
      <c r="D41" s="86"/>
      <c r="E41" s="87" t="s">
        <v>44</v>
      </c>
      <c r="F41" s="87" t="s">
        <v>44</v>
      </c>
      <c r="G41" s="39"/>
      <c r="H41" s="39" t="str">
        <f>IF(OR(ISBLANK(ProjectSchedule!task_start),ISBLANK(ProjectSchedule!task_end)),"",ProjectSchedule!task_end-ProjectSchedule!task_start+1)</f>
        <v/>
      </c>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row>
    <row r="42" ht="30.0" customHeight="1">
      <c r="A42" s="8"/>
      <c r="B42" s="84" t="s">
        <v>41</v>
      </c>
      <c r="C42" s="85"/>
      <c r="D42" s="86"/>
      <c r="E42" s="87" t="s">
        <v>44</v>
      </c>
      <c r="F42" s="87" t="s">
        <v>44</v>
      </c>
      <c r="G42" s="39"/>
      <c r="H42" s="39" t="str">
        <f>IF(OR(ISBLANK(ProjectSchedule!task_start),ISBLANK(ProjectSchedule!task_end)),"",ProjectSchedule!task_end-ProjectSchedule!task_start+1)</f>
        <v/>
      </c>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row>
    <row r="43" ht="30.0" customHeight="1">
      <c r="A43" s="8"/>
      <c r="B43" s="84" t="s">
        <v>42</v>
      </c>
      <c r="C43" s="85"/>
      <c r="D43" s="86"/>
      <c r="E43" s="87" t="s">
        <v>44</v>
      </c>
      <c r="F43" s="87" t="s">
        <v>44</v>
      </c>
      <c r="G43" s="39"/>
      <c r="H43" s="39" t="str">
        <f>IF(OR(ISBLANK(ProjectSchedule!task_start),ISBLANK(ProjectSchedule!task_end)),"",ProjectSchedule!task_end-ProjectSchedule!task_start+1)</f>
        <v/>
      </c>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row>
    <row r="44" ht="30.0" customHeight="1">
      <c r="A44" s="8" t="s">
        <v>36</v>
      </c>
      <c r="B44" s="88" t="s">
        <v>47</v>
      </c>
      <c r="C44" s="89"/>
      <c r="D44" s="90"/>
      <c r="E44" s="91"/>
      <c r="F44" s="91"/>
      <c r="G44" s="39"/>
      <c r="H44" s="39" t="str">
        <f>IF(OR(ISBLANK(ProjectSchedule!task_start),ISBLANK(ProjectSchedule!task_end)),"",ProjectSchedule!task_end-ProjectSchedule!task_start+1)</f>
        <v/>
      </c>
      <c r="I44" s="33"/>
      <c r="J44" s="33"/>
      <c r="K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row>
    <row r="45" ht="30.0" customHeight="1">
      <c r="A45" s="8"/>
      <c r="B45" s="92" t="s">
        <v>38</v>
      </c>
      <c r="C45" s="93"/>
      <c r="D45" s="94"/>
      <c r="E45" s="95" t="s">
        <v>44</v>
      </c>
      <c r="F45" s="95" t="s">
        <v>44</v>
      </c>
      <c r="G45" s="39"/>
      <c r="H45" s="39" t="str">
        <f>IF(OR(ISBLANK(ProjectSchedule!task_start),ISBLANK(ProjectSchedule!task_end)),"",ProjectSchedule!task_end-ProjectSchedule!task_start+1)</f>
        <v/>
      </c>
      <c r="I45" s="33"/>
      <c r="J45" s="33"/>
      <c r="K45" s="33"/>
      <c r="L45" s="33"/>
      <c r="M45" s="33"/>
      <c r="N45" s="33"/>
      <c r="O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row>
    <row r="46" ht="30.0" customHeight="1">
      <c r="A46" s="8"/>
      <c r="B46" s="92" t="s">
        <v>39</v>
      </c>
      <c r="C46" s="93"/>
      <c r="D46" s="94"/>
      <c r="E46" s="95" t="s">
        <v>44</v>
      </c>
      <c r="F46" s="95" t="s">
        <v>44</v>
      </c>
      <c r="G46" s="39"/>
      <c r="H46" s="39" t="str">
        <f>IF(OR(ISBLANK(ProjectSchedule!task_start),ISBLANK(ProjectSchedule!task_end)),"",ProjectSchedule!task_end-ProjectSchedule!task_start+1)</f>
        <v/>
      </c>
      <c r="I46" s="33"/>
      <c r="J46" s="33"/>
      <c r="K46" s="96"/>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row>
    <row r="47" ht="30.0" customHeight="1">
      <c r="A47" s="8"/>
      <c r="B47" s="92" t="s">
        <v>40</v>
      </c>
      <c r="C47" s="93"/>
      <c r="D47" s="94"/>
      <c r="E47" s="95" t="s">
        <v>44</v>
      </c>
      <c r="F47" s="95" t="s">
        <v>44</v>
      </c>
      <c r="G47" s="39"/>
      <c r="H47" s="39" t="str">
        <f>IF(OR(ISBLANK(ProjectSchedule!task_start),ISBLANK(ProjectSchedule!task_end)),"",ProjectSchedule!task_end-ProjectSchedule!task_start+1)</f>
        <v/>
      </c>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row>
    <row r="48" ht="30.0" customHeight="1">
      <c r="A48" s="8"/>
      <c r="B48" s="92" t="s">
        <v>41</v>
      </c>
      <c r="C48" s="93"/>
      <c r="D48" s="94"/>
      <c r="E48" s="95" t="s">
        <v>44</v>
      </c>
      <c r="F48" s="95" t="s">
        <v>44</v>
      </c>
      <c r="G48" s="39"/>
      <c r="H48" s="39" t="str">
        <f>IF(OR(ISBLANK(ProjectSchedule!task_start),ISBLANK(ProjectSchedule!task_end)),"",ProjectSchedule!task_end-ProjectSchedule!task_start+1)</f>
        <v/>
      </c>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row>
    <row r="49" ht="30.0" customHeight="1">
      <c r="A49" s="8"/>
      <c r="B49" s="92" t="s">
        <v>42</v>
      </c>
      <c r="C49" s="93"/>
      <c r="D49" s="94"/>
      <c r="E49" s="95" t="s">
        <v>44</v>
      </c>
      <c r="F49" s="95" t="s">
        <v>44</v>
      </c>
      <c r="G49" s="39"/>
      <c r="H49" s="39" t="str">
        <f>IF(OR(ISBLANK(ProjectSchedule!task_start),ISBLANK(ProjectSchedule!task_end)),"",ProjectSchedule!task_end-ProjectSchedule!task_start+1)</f>
        <v/>
      </c>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row>
    <row r="50" ht="30.0" customHeight="1">
      <c r="A50" s="8" t="s">
        <v>36</v>
      </c>
      <c r="B50" s="97" t="s">
        <v>48</v>
      </c>
      <c r="C50" s="98"/>
      <c r="D50" s="99"/>
      <c r="E50" s="100"/>
      <c r="F50" s="100"/>
      <c r="G50" s="39"/>
      <c r="H50" s="39" t="str">
        <f>IF(OR(ISBLANK(ProjectSchedule!task_start),ISBLANK(ProjectSchedule!task_end)),"",ProjectSchedule!task_end-ProjectSchedule!task_start+1)</f>
        <v/>
      </c>
      <c r="I50" s="33"/>
      <c r="J50" s="33"/>
      <c r="K50" s="100"/>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row>
    <row r="51" ht="30.0" customHeight="1">
      <c r="A51" s="1" t="s">
        <v>49</v>
      </c>
      <c r="B51" s="101" t="s">
        <v>50</v>
      </c>
      <c r="C51" s="102"/>
      <c r="D51" s="103"/>
      <c r="E51" s="104"/>
      <c r="F51" s="105"/>
      <c r="G51" s="106"/>
      <c r="H51" s="106" t="str">
        <f>IF(OR(ISBLANK(ProjectSchedule!task_start),ISBLANK(ProjectSchedule!task_end)),"",ProjectSchedule!task_end-ProjectSchedule!task_start+1)</f>
        <v/>
      </c>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row>
    <row r="52" ht="30.0" customHeight="1">
      <c r="A52" s="8"/>
      <c r="B52" s="108"/>
      <c r="E52" s="10"/>
      <c r="G52" s="109"/>
    </row>
    <row r="53" ht="30.0" customHeight="1">
      <c r="A53" s="8"/>
      <c r="C53" s="110"/>
      <c r="E53" s="10"/>
      <c r="F53" s="111"/>
    </row>
    <row r="54" ht="30.0" customHeight="1">
      <c r="A54" s="8"/>
      <c r="C54" s="112"/>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row r="1000" ht="30.0" customHeight="1">
      <c r="A1000" s="8"/>
      <c r="E1000" s="10"/>
    </row>
    <row r="1001" ht="30.0" customHeight="1">
      <c r="A1001" s="8"/>
      <c r="E1001" s="10"/>
    </row>
    <row r="1002" ht="30.0" customHeight="1">
      <c r="A1002" s="8"/>
      <c r="E1002" s="10"/>
    </row>
    <row r="1003" ht="30.0" customHeight="1">
      <c r="A1003" s="8"/>
      <c r="E1003" s="10"/>
    </row>
    <row r="1004" ht="30.0" customHeight="1">
      <c r="A1004" s="8"/>
      <c r="E1004" s="10"/>
    </row>
    <row r="1005" ht="30.0" customHeight="1">
      <c r="A1005" s="8"/>
      <c r="E1005" s="10"/>
    </row>
    <row r="1006" ht="30.0" customHeight="1">
      <c r="A1006" s="8"/>
      <c r="E1006" s="10"/>
    </row>
    <row r="1007" ht="30.0" customHeight="1">
      <c r="A1007" s="8"/>
      <c r="E1007" s="10"/>
    </row>
    <row r="1008" ht="30.0" customHeight="1">
      <c r="A1008" s="8"/>
      <c r="E1008" s="10"/>
    </row>
    <row r="1009" ht="30.0" customHeight="1">
      <c r="A1009" s="8"/>
      <c r="E1009" s="10"/>
    </row>
    <row r="1010" ht="30.0" customHeight="1">
      <c r="A1010" s="8"/>
      <c r="E1010" s="10"/>
    </row>
    <row r="1011" ht="30.0" customHeight="1">
      <c r="A1011" s="8"/>
      <c r="E1011" s="10"/>
    </row>
    <row r="1012" ht="30.0" customHeight="1">
      <c r="A1012" s="8"/>
      <c r="E1012" s="10"/>
    </row>
    <row r="1013" ht="30.0" customHeight="1">
      <c r="A1013" s="8"/>
      <c r="E1013" s="10"/>
    </row>
    <row r="1014" ht="30.0" customHeight="1">
      <c r="A1014" s="8"/>
      <c r="E1014" s="10"/>
    </row>
    <row r="1015" ht="30.0" customHeight="1">
      <c r="A1015" s="8"/>
      <c r="E1015" s="10"/>
    </row>
    <row r="1016" ht="30.0" customHeight="1">
      <c r="A1016" s="8"/>
      <c r="E1016" s="10"/>
    </row>
    <row r="1017" ht="30.0" customHeight="1">
      <c r="A1017" s="8"/>
      <c r="E1017" s="10"/>
    </row>
    <row r="1018" ht="30.0" customHeight="1">
      <c r="A1018" s="8"/>
      <c r="E1018" s="10"/>
    </row>
  </sheetData>
  <mergeCells count="18">
    <mergeCell ref="C3:D3"/>
    <mergeCell ref="E3:F3"/>
    <mergeCell ref="C4:D4"/>
    <mergeCell ref="I4:O4"/>
    <mergeCell ref="P4:V4"/>
    <mergeCell ref="W4:AC4"/>
    <mergeCell ref="AD4:AJ4"/>
    <mergeCell ref="CA4:CG4"/>
    <mergeCell ref="CH4:CN4"/>
    <mergeCell ref="CO4:CU4"/>
    <mergeCell ref="CV4:DB4"/>
    <mergeCell ref="AK4:AQ4"/>
    <mergeCell ref="AR4:AX4"/>
    <mergeCell ref="AY4:BE4"/>
    <mergeCell ref="BF4:BL4"/>
    <mergeCell ref="BS3:BY3"/>
    <mergeCell ref="BM4:BS4"/>
    <mergeCell ref="BT4:BZ4"/>
  </mergeCells>
  <conditionalFormatting sqref="I5:J51 K5:K49 L5:O8 P5:Q9 R5:U10 V5:AC51 AD5:AW12 AX5:DB51 L10:L51 M10:M34 N10:N51 O11:O14 P11 S12:U51 P14:P20 Q14:R51 AD14:AW51 O16:O51 P22:P26 P28:P30 P32:P38 M36:M51 P40:P51 K51">
    <cfRule type="expression" dxfId="0" priority="1">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113"/>
      <c r="B1" s="4"/>
      <c r="C1" s="4"/>
      <c r="D1" s="4"/>
      <c r="E1" s="4"/>
      <c r="F1" s="4"/>
      <c r="G1" s="4"/>
      <c r="H1" s="4"/>
      <c r="I1" s="4"/>
      <c r="J1" s="4"/>
      <c r="K1" s="4"/>
      <c r="L1" s="4"/>
      <c r="M1" s="4"/>
      <c r="N1" s="4"/>
      <c r="O1" s="4"/>
      <c r="P1" s="4"/>
      <c r="Q1" s="4"/>
      <c r="R1" s="4"/>
      <c r="S1" s="4"/>
      <c r="T1" s="4"/>
      <c r="U1" s="4"/>
      <c r="V1" s="4"/>
      <c r="W1" s="4"/>
      <c r="X1" s="4"/>
      <c r="Y1" s="4"/>
      <c r="Z1" s="4"/>
    </row>
    <row r="2" ht="12.75" customHeight="1">
      <c r="A2" s="114" t="s">
        <v>51</v>
      </c>
      <c r="B2" s="115"/>
      <c r="C2" s="116"/>
      <c r="D2" s="116"/>
      <c r="E2" s="116"/>
      <c r="F2" s="116"/>
      <c r="G2" s="116"/>
      <c r="H2" s="116"/>
      <c r="I2" s="116"/>
      <c r="J2" s="116"/>
      <c r="K2" s="116"/>
      <c r="L2" s="116"/>
      <c r="M2" s="116"/>
      <c r="N2" s="116"/>
      <c r="O2" s="116"/>
      <c r="P2" s="116"/>
      <c r="Q2" s="116"/>
      <c r="R2" s="116"/>
      <c r="S2" s="116"/>
      <c r="T2" s="116"/>
      <c r="U2" s="116"/>
      <c r="V2" s="116"/>
      <c r="W2" s="116"/>
      <c r="X2" s="116"/>
      <c r="Y2" s="116"/>
      <c r="Z2" s="116"/>
    </row>
    <row r="3" ht="27.0" customHeight="1">
      <c r="A3" s="117" t="s">
        <v>52</v>
      </c>
      <c r="B3" s="118"/>
      <c r="C3" s="119"/>
      <c r="D3" s="119"/>
      <c r="E3" s="119"/>
      <c r="F3" s="119"/>
      <c r="G3" s="119"/>
      <c r="H3" s="119"/>
      <c r="I3" s="119"/>
      <c r="J3" s="119"/>
      <c r="K3" s="119"/>
      <c r="L3" s="119"/>
      <c r="M3" s="119"/>
      <c r="N3" s="119"/>
      <c r="O3" s="119"/>
      <c r="P3" s="119"/>
      <c r="Q3" s="119"/>
      <c r="R3" s="119"/>
      <c r="S3" s="119"/>
      <c r="T3" s="119"/>
      <c r="U3" s="119"/>
      <c r="V3" s="119"/>
      <c r="W3" s="119"/>
      <c r="X3" s="119"/>
      <c r="Y3" s="119"/>
      <c r="Z3" s="119"/>
    </row>
    <row r="4" ht="12.75" customHeight="1">
      <c r="A4" s="120" t="s">
        <v>53</v>
      </c>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ht="73.5" customHeight="1">
      <c r="A5" s="122" t="s">
        <v>54</v>
      </c>
      <c r="B5" s="4"/>
      <c r="C5" s="4"/>
      <c r="D5" s="4"/>
      <c r="E5" s="4"/>
      <c r="F5" s="4"/>
      <c r="G5" s="4"/>
      <c r="H5" s="4"/>
      <c r="I5" s="4"/>
      <c r="J5" s="4"/>
      <c r="K5" s="4"/>
      <c r="L5" s="4"/>
      <c r="M5" s="4"/>
      <c r="N5" s="4"/>
      <c r="O5" s="4"/>
      <c r="P5" s="4"/>
      <c r="Q5" s="4"/>
      <c r="R5" s="4"/>
      <c r="S5" s="4"/>
      <c r="T5" s="4"/>
      <c r="U5" s="4"/>
      <c r="V5" s="4"/>
      <c r="W5" s="4"/>
      <c r="X5" s="4"/>
      <c r="Y5" s="4"/>
      <c r="Z5" s="4"/>
    </row>
    <row r="6" ht="26.25" customHeight="1">
      <c r="A6" s="120" t="s">
        <v>55</v>
      </c>
      <c r="B6" s="4"/>
      <c r="C6" s="4"/>
      <c r="D6" s="4"/>
      <c r="E6" s="4"/>
      <c r="F6" s="4"/>
      <c r="G6" s="4"/>
      <c r="H6" s="4"/>
      <c r="I6" s="4"/>
      <c r="J6" s="4"/>
      <c r="K6" s="4"/>
      <c r="L6" s="4"/>
      <c r="M6" s="4"/>
      <c r="N6" s="4"/>
      <c r="O6" s="4"/>
      <c r="P6" s="4"/>
      <c r="Q6" s="4"/>
      <c r="R6" s="4"/>
      <c r="S6" s="4"/>
      <c r="T6" s="4"/>
      <c r="U6" s="4"/>
      <c r="V6" s="4"/>
      <c r="W6" s="4"/>
      <c r="X6" s="4"/>
      <c r="Y6" s="4"/>
      <c r="Z6" s="4"/>
    </row>
    <row r="7" ht="215.25" customHeight="1">
      <c r="A7" s="123" t="s">
        <v>56</v>
      </c>
      <c r="B7" s="113"/>
      <c r="C7" s="113"/>
      <c r="D7" s="113"/>
      <c r="E7" s="113"/>
      <c r="F7" s="113"/>
      <c r="G7" s="113"/>
      <c r="H7" s="113"/>
      <c r="I7" s="113"/>
      <c r="J7" s="113"/>
      <c r="K7" s="113"/>
      <c r="L7" s="113"/>
      <c r="M7" s="113"/>
      <c r="N7" s="113"/>
      <c r="O7" s="113"/>
      <c r="P7" s="113"/>
      <c r="Q7" s="113"/>
      <c r="R7" s="113"/>
      <c r="S7" s="113"/>
      <c r="T7" s="113"/>
      <c r="U7" s="113"/>
      <c r="V7" s="113"/>
      <c r="W7" s="113"/>
      <c r="X7" s="113"/>
      <c r="Y7" s="113"/>
      <c r="Z7" s="113"/>
    </row>
    <row r="8" ht="12.75" customHeight="1">
      <c r="A8" s="120" t="s">
        <v>57</v>
      </c>
      <c r="B8" s="121"/>
      <c r="C8" s="121"/>
      <c r="D8" s="121"/>
      <c r="E8" s="121"/>
      <c r="F8" s="121"/>
      <c r="G8" s="121"/>
      <c r="H8" s="121"/>
      <c r="I8" s="121"/>
      <c r="J8" s="121"/>
      <c r="K8" s="121"/>
      <c r="L8" s="121"/>
      <c r="M8" s="121"/>
      <c r="N8" s="121"/>
      <c r="O8" s="121"/>
      <c r="P8" s="121"/>
      <c r="Q8" s="121"/>
      <c r="R8" s="121"/>
      <c r="S8" s="121"/>
      <c r="T8" s="121"/>
      <c r="U8" s="121"/>
      <c r="V8" s="121"/>
      <c r="W8" s="121"/>
      <c r="X8" s="121"/>
      <c r="Y8" s="121"/>
      <c r="Z8" s="121"/>
    </row>
    <row r="9" ht="12.75" customHeight="1">
      <c r="A9" s="122" t="s">
        <v>58</v>
      </c>
      <c r="B9" s="4"/>
      <c r="C9" s="4"/>
      <c r="D9" s="4"/>
      <c r="E9" s="4"/>
      <c r="F9" s="4"/>
      <c r="G9" s="4"/>
      <c r="H9" s="4"/>
      <c r="I9" s="4"/>
      <c r="J9" s="4"/>
      <c r="K9" s="4"/>
      <c r="L9" s="4"/>
      <c r="M9" s="4"/>
      <c r="N9" s="4"/>
      <c r="O9" s="4"/>
      <c r="P9" s="4"/>
      <c r="Q9" s="4"/>
      <c r="R9" s="4"/>
      <c r="S9" s="4"/>
      <c r="T9" s="4"/>
      <c r="U9" s="4"/>
      <c r="V9" s="4"/>
      <c r="W9" s="4"/>
      <c r="X9" s="4"/>
      <c r="Y9" s="4"/>
      <c r="Z9" s="4"/>
    </row>
    <row r="10" ht="27.75" customHeight="1">
      <c r="A10" s="124" t="s">
        <v>59</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row>
    <row r="11" ht="12.75" customHeight="1">
      <c r="A11" s="120" t="s">
        <v>60</v>
      </c>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row>
    <row r="12" ht="12.75" customHeight="1">
      <c r="A12" s="122" t="s">
        <v>61</v>
      </c>
      <c r="B12" s="4"/>
      <c r="C12" s="4"/>
      <c r="D12" s="4"/>
      <c r="E12" s="4"/>
      <c r="F12" s="4"/>
      <c r="G12" s="4"/>
      <c r="H12" s="4"/>
      <c r="I12" s="4"/>
      <c r="J12" s="4"/>
      <c r="K12" s="4"/>
      <c r="L12" s="4"/>
      <c r="M12" s="4"/>
      <c r="N12" s="4"/>
      <c r="O12" s="4"/>
      <c r="P12" s="4"/>
      <c r="Q12" s="4"/>
      <c r="R12" s="4"/>
      <c r="S12" s="4"/>
      <c r="T12" s="4"/>
      <c r="U12" s="4"/>
      <c r="V12" s="4"/>
      <c r="W12" s="4"/>
      <c r="X12" s="4"/>
      <c r="Y12" s="4"/>
      <c r="Z12" s="4"/>
    </row>
    <row r="13" ht="27.75" customHeight="1">
      <c r="A13" s="124" t="s">
        <v>62</v>
      </c>
      <c r="B13" s="113"/>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row>
    <row r="14" ht="12.75" customHeight="1">
      <c r="A14" s="120" t="s">
        <v>63</v>
      </c>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ht="96.75" customHeight="1">
      <c r="A15" s="122" t="s">
        <v>64</v>
      </c>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122" t="s">
        <v>65</v>
      </c>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113"/>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113"/>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113"/>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113"/>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113"/>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113"/>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113"/>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113"/>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113"/>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113"/>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113"/>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113"/>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113"/>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113"/>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113"/>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113"/>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113"/>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113"/>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113"/>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113"/>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113"/>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113"/>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113"/>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113"/>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113"/>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113"/>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113"/>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113"/>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113"/>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113"/>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113"/>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13"/>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13"/>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113"/>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113"/>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113"/>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113"/>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113"/>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113"/>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113"/>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113"/>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113"/>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113"/>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113"/>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113"/>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113"/>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113"/>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113"/>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113"/>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113"/>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113"/>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113"/>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113"/>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113"/>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113"/>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113"/>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113"/>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113"/>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113"/>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113"/>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113"/>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113"/>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113"/>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113"/>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113"/>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113"/>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113"/>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113"/>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113"/>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113"/>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113"/>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113"/>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113"/>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113"/>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113"/>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113"/>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113"/>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113"/>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113"/>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113"/>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113"/>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113"/>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113"/>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113"/>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113"/>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113"/>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113"/>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113"/>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113"/>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113"/>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113"/>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113"/>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113"/>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113"/>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113"/>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113"/>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113"/>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113"/>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113"/>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113"/>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113"/>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113"/>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11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113"/>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113"/>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113"/>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113"/>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113"/>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113"/>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113"/>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113"/>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113"/>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113"/>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113"/>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113"/>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113"/>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113"/>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1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113"/>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113"/>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113"/>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113"/>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113"/>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113"/>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113"/>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113"/>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113"/>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113"/>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113"/>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113"/>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113"/>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113"/>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113"/>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113"/>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113"/>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113"/>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113"/>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113"/>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113"/>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113"/>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113"/>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113"/>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113"/>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113"/>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113"/>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113"/>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113"/>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113"/>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113"/>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113"/>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113"/>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113"/>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113"/>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113"/>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113"/>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113"/>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113"/>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113"/>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113"/>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113"/>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113"/>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113"/>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113"/>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113"/>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113"/>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113"/>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113"/>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113"/>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113"/>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113"/>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113"/>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113"/>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113"/>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113"/>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113"/>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113"/>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113"/>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113"/>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113"/>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113"/>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113"/>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113"/>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113"/>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113"/>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113"/>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113"/>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113"/>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113"/>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113"/>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113"/>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113"/>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113"/>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113"/>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113"/>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113"/>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113"/>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113"/>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113"/>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113"/>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113"/>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113"/>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113"/>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113"/>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113"/>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113"/>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113"/>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113"/>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113"/>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113"/>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113"/>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113"/>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113"/>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113"/>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113"/>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113"/>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113"/>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113"/>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113"/>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113"/>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113"/>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113"/>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113"/>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113"/>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113"/>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113"/>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113"/>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113"/>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113"/>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113"/>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113"/>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113"/>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113"/>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113"/>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113"/>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113"/>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113"/>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113"/>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113"/>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113"/>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113"/>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113"/>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113"/>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113"/>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113"/>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113"/>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113"/>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113"/>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113"/>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113"/>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113"/>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113"/>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113"/>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113"/>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113"/>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113"/>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113"/>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113"/>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113"/>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113"/>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11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11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11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11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11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11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11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11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11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11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11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11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11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11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11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11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11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11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11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11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11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11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11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11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11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11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11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11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11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11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11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11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11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11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11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11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11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11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11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11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11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11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11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11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11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11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11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11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11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11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11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11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11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11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11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11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11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11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11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11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11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11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11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11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11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11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11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11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11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11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11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11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11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11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11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11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11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11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11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11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11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11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11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11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11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11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11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11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11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11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11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11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11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11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11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11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11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11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11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11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11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11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11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11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11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11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11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11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11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11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11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11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11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11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11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11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11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11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11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11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11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11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11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11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11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11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11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11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11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11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11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11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11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11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11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11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11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11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11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11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11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11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11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11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11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11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11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11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11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11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11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11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11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11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11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11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11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11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11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11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11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11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11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11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11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11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11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11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11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11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11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11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11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11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11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11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11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11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11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113"/>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113"/>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113"/>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113"/>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113"/>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113"/>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113"/>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113"/>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11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11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11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11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11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11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11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11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11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11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11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11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11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11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11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11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11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11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11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11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11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11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11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11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11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11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11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11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11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11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11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11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11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11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11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11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11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11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11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11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11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11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11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11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11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11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11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11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11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11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11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11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11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11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11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11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11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11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11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11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11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11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11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11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11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11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11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11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11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11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11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11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11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11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11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11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11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11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11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11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11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11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11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11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11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11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11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11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11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11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11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11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11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11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11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11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11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11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11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11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11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11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11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11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11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11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11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11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11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11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11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11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11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11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11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11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11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11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11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11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11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11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11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11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11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11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11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11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11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11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11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11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11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11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11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11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11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11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11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11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11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11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11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11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11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11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11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11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11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11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11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11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11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11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11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11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11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11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11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11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11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11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11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11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11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11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11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11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11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11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11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11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11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11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11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11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11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11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11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11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11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11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11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11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11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11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11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11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11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11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11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11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11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11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11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11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11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11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11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11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11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11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11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11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11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11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11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11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11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11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11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11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11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11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11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11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11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11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11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11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11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11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11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11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11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11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11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11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11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11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11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11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11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11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11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11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11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11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11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11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11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11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11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11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11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11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11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11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11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11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11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11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11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11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11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11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11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11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11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11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11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11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11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11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11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11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11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11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11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11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11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11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11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11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11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11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11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11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11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11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11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11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11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11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11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11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11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11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11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11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11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11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11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11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11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11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11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11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11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11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11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11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11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11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11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11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11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11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11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11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11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11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11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11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11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11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11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11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11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11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11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11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11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11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11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11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11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11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11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11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11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11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11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11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11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11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11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11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11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11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11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11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11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11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11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11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11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11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11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11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11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11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11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11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11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11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11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11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11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11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11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11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11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11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11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11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11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11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11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11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11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11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11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11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11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11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11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11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11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11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11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11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11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11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11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11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11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11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11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11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11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11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11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11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11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11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11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11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11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11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11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11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11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11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11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11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11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11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11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11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11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11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11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11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11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11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11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11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11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11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11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11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11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11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11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11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11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11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11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11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11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11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11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11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11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11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11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11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11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11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11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11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11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11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11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11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11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11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11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11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11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11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11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11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11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11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11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11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11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11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11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11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11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11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11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11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11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11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11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11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11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11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11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11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11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11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11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11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11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11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11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11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11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11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11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11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11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11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11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11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11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11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11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11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11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11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11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11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11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11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11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11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11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11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11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11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11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11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11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11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11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11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11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11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11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11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11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11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11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11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11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11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11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11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11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11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11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11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11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11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11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11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11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113"/>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113"/>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113"/>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113"/>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11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10"/>
    <hyperlink r:id="rId4" ref="A13"/>
  </hyperlinks>
  <printOptions/>
  <pageMargins bottom="0.5" footer="0.0" header="0.0" left="0.5" right="0.5" top="0.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